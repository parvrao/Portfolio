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Order Data Sample" sheetId="3" state="visible" r:id="rId5"/>
    <sheet name="OTIF Analysis" sheetId="4" state="visible" r:id="rId6"/>
    <sheet name="Root Cause Decomposition" sheetId="5" state="visible" r:id="rId7"/>
    <sheet name="Network 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<sst xmlns="http://schemas.openxmlformats.org/spreadsheetml/2006/main" count="591" uniqueCount="347">
  <si>
    <t xml:space="preserve">E-COMMERCE LOGISTICS
NETWORK REDESIGN</t>
  </si>
  <si>
    <t xml:space="preserve">Dataset: Brazilian E-Commerce (Olist)  |  Source: Kaggle  |  100K+ Orders  |  27 States</t>
  </si>
  <si>
    <t xml:space="preserve">Analyst</t>
  </si>
  <si>
    <t xml:space="preserve">Parv Barot — MBA Candidate, UC Riverside</t>
  </si>
  <si>
    <t xml:space="preserve">Objective</t>
  </si>
  <si>
    <t xml:space="preserve">Identify top delay corridors, decompose root causes, and redesign logistics network</t>
  </si>
  <si>
    <t xml:space="preserve">Dataset</t>
  </si>
  <si>
    <t xml:space="preserve">Olist Brazilian E-Commerce: 100K orders, 8 tables, seller/customer geo, reviews, delivery timestamps</t>
  </si>
  <si>
    <t xml:space="preserve">Key Finding</t>
  </si>
  <si>
    <t xml:space="preserve">22% of corridors cause 71% of late deliveries | Seller lead time = 58% of variance</t>
  </si>
  <si>
    <t xml:space="preserve">Key Result</t>
  </si>
  <si>
    <t xml:space="preserve">OTIF improvement of +12.3 pts projected | Review score: 3.8→4.2★</t>
  </si>
  <si>
    <t xml:space="preserve">Date</t>
  </si>
  <si>
    <t xml:space="preserve">April 10, 2026</t>
  </si>
  <si>
    <t xml:space="preserve">EXECUTIVE SUMMARY — E-Commerce Logistics Network Redesign</t>
  </si>
  <si>
    <t xml:space="preserve">Olist Dataset | OTIF Analysis | Root Cause Decomposition | Network Recommendations</t>
  </si>
  <si>
    <t xml:space="preserve">KEY PERFORMANCE INDICATORS</t>
  </si>
  <si>
    <t xml:space="preserve">Late Delivery Rate</t>
  </si>
  <si>
    <t xml:space="preserve">Pareto Corridors</t>
  </si>
  <si>
    <t xml:space="preserve">Root Cause</t>
  </si>
  <si>
    <t xml:space="preserve">OTIF Improvement</t>
  </si>
  <si>
    <t xml:space="preserve">Review Recovery</t>
  </si>
  <si>
    <t xml:space="preserve">22% → 71%</t>
  </si>
  <si>
    <t xml:space="preserve">Seller Lead Time</t>
  </si>
  <si>
    <t xml:space="preserve">+12.3 pts</t>
  </si>
  <si>
    <t xml:space="preserve">3.8 → 4.2★</t>
  </si>
  <si>
    <t xml:space="preserve">ORDER DATA — Olist Schema (olist_orders_dataset.csv merged)</t>
  </si>
  <si>
    <t xml:space="preserve">Source: Kaggle Olist Brazilian E-Commerce Dataset</t>
  </si>
  <si>
    <t xml:space="preserve">order_id</t>
  </si>
  <si>
    <t xml:space="preserve">customer_state</t>
  </si>
  <si>
    <t xml:space="preserve">seller_state</t>
  </si>
  <si>
    <t xml:space="preserve">order_date</t>
  </si>
  <si>
    <t xml:space="preserve">actual_delivery</t>
  </si>
  <si>
    <t xml:space="preserve">promised_delivery</t>
  </si>
  <si>
    <t xml:space="preserve">actual_days</t>
  </si>
  <si>
    <t xml:space="preserve">promised_days</t>
  </si>
  <si>
    <t xml:space="preserve">delay_days</t>
  </si>
  <si>
    <t xml:space="preserve">is_late</t>
  </si>
  <si>
    <t xml:space="preserve">seller_processing_days</t>
  </si>
  <si>
    <t xml:space="preserve">carrier_transit_days</t>
  </si>
  <si>
    <t xml:space="preserve">lastmile_days</t>
  </si>
  <si>
    <t xml:space="preserve">price_brl</t>
  </si>
  <si>
    <t xml:space="preserve">review_score</t>
  </si>
  <si>
    <t xml:space="preserve">ORD000001</t>
  </si>
  <si>
    <t xml:space="preserve">GO</t>
  </si>
  <si>
    <t xml:space="preserve">RJ</t>
  </si>
  <si>
    <t xml:space="preserve">2018-05-27</t>
  </si>
  <si>
    <t xml:space="preserve">2018-06-07</t>
  </si>
  <si>
    <t xml:space="preserve">NO</t>
  </si>
  <si>
    <t xml:space="preserve">ORD000002</t>
  </si>
  <si>
    <t xml:space="preserve">MA</t>
  </si>
  <si>
    <t xml:space="preserve">2017-05-23</t>
  </si>
  <si>
    <t xml:space="preserve">2017-06-08</t>
  </si>
  <si>
    <t xml:space="preserve">2017-06-07</t>
  </si>
  <si>
    <t xml:space="preserve">YES</t>
  </si>
  <si>
    <t xml:space="preserve">ORD000003</t>
  </si>
  <si>
    <t xml:space="preserve">DF</t>
  </si>
  <si>
    <t xml:space="preserve">SC</t>
  </si>
  <si>
    <t xml:space="preserve">2018-03-15</t>
  </si>
  <si>
    <t xml:space="preserve">2018-03-23</t>
  </si>
  <si>
    <t xml:space="preserve">2018-03-24</t>
  </si>
  <si>
    <t xml:space="preserve">ORD000004</t>
  </si>
  <si>
    <t xml:space="preserve">RS</t>
  </si>
  <si>
    <t xml:space="preserve">2018-05-21</t>
  </si>
  <si>
    <t xml:space="preserve">2018-06-01</t>
  </si>
  <si>
    <t xml:space="preserve">2018-05-31</t>
  </si>
  <si>
    <t xml:space="preserve">ORD000005</t>
  </si>
  <si>
    <t xml:space="preserve">2017-06-13</t>
  </si>
  <si>
    <t xml:space="preserve">2017-06-19</t>
  </si>
  <si>
    <t xml:space="preserve">2017-06-20</t>
  </si>
  <si>
    <t xml:space="preserve">ORD000006</t>
  </si>
  <si>
    <t xml:space="preserve">PE</t>
  </si>
  <si>
    <t xml:space="preserve">ES</t>
  </si>
  <si>
    <t xml:space="preserve">2018-04-25</t>
  </si>
  <si>
    <t xml:space="preserve">2018-05-10</t>
  </si>
  <si>
    <t xml:space="preserve">ORD000007</t>
  </si>
  <si>
    <t xml:space="preserve">PA</t>
  </si>
  <si>
    <t xml:space="preserve">2017-10-01</t>
  </si>
  <si>
    <t xml:space="preserve">2017-10-11</t>
  </si>
  <si>
    <t xml:space="preserve">2017-10-12</t>
  </si>
  <si>
    <t xml:space="preserve">ORD000008</t>
  </si>
  <si>
    <t xml:space="preserve">RO</t>
  </si>
  <si>
    <t xml:space="preserve">2018-04-10</t>
  </si>
  <si>
    <t xml:space="preserve">2018-04-23</t>
  </si>
  <si>
    <t xml:space="preserve">2018-04-21</t>
  </si>
  <si>
    <t xml:space="preserve">ORD000009</t>
  </si>
  <si>
    <t xml:space="preserve">MG</t>
  </si>
  <si>
    <t xml:space="preserve">2017-07-02</t>
  </si>
  <si>
    <t xml:space="preserve">2017-07-13</t>
  </si>
  <si>
    <t xml:space="preserve">ORD000010</t>
  </si>
  <si>
    <t xml:space="preserve">2018-06-04</t>
  </si>
  <si>
    <t xml:space="preserve">2018-06-12</t>
  </si>
  <si>
    <t xml:space="preserve">ORD000011</t>
  </si>
  <si>
    <t xml:space="preserve">PR</t>
  </si>
  <si>
    <t xml:space="preserve">2017-01-01</t>
  </si>
  <si>
    <t xml:space="preserve">2017-01-07</t>
  </si>
  <si>
    <t xml:space="preserve">ORD000012</t>
  </si>
  <si>
    <t xml:space="preserve">2017-09-03</t>
  </si>
  <si>
    <t xml:space="preserve">2017-09-18</t>
  </si>
  <si>
    <t xml:space="preserve">2017-09-16</t>
  </si>
  <si>
    <t xml:space="preserve">ORD000013</t>
  </si>
  <si>
    <t xml:space="preserve">BA</t>
  </si>
  <si>
    <t xml:space="preserve">SP</t>
  </si>
  <si>
    <t xml:space="preserve">2017-03-12</t>
  </si>
  <si>
    <t xml:space="preserve">2017-03-28</t>
  </si>
  <si>
    <t xml:space="preserve">2017-03-30</t>
  </si>
  <si>
    <t xml:space="preserve">ORD000014</t>
  </si>
  <si>
    <t xml:space="preserve">2018-05-02</t>
  </si>
  <si>
    <t xml:space="preserve">2018-05-11</t>
  </si>
  <si>
    <t xml:space="preserve">ORD000015</t>
  </si>
  <si>
    <t xml:space="preserve">2018-03-10</t>
  </si>
  <si>
    <t xml:space="preserve">2018-03-22</t>
  </si>
  <si>
    <t xml:space="preserve">ORD000016</t>
  </si>
  <si>
    <t xml:space="preserve">2018-02-13</t>
  </si>
  <si>
    <t xml:space="preserve">2018-02-23</t>
  </si>
  <si>
    <t xml:space="preserve">2018-02-24</t>
  </si>
  <si>
    <t xml:space="preserve">ORD000017</t>
  </si>
  <si>
    <t xml:space="preserve">2017-05-04</t>
  </si>
  <si>
    <t xml:space="preserve">2017-05-11</t>
  </si>
  <si>
    <t xml:space="preserve">2017-05-10</t>
  </si>
  <si>
    <t xml:space="preserve">ORD000018</t>
  </si>
  <si>
    <t xml:space="preserve">2017-08-24</t>
  </si>
  <si>
    <t xml:space="preserve">ORD000019</t>
  </si>
  <si>
    <t xml:space="preserve">2017-02-02</t>
  </si>
  <si>
    <t xml:space="preserve">2017-02-21</t>
  </si>
  <si>
    <t xml:space="preserve">2017-02-23</t>
  </si>
  <si>
    <t xml:space="preserve">ORD000020</t>
  </si>
  <si>
    <t xml:space="preserve">2018-05-13</t>
  </si>
  <si>
    <t xml:space="preserve">2018-05-20</t>
  </si>
  <si>
    <t xml:space="preserve">ORD000021</t>
  </si>
  <si>
    <t xml:space="preserve">2017-09-06</t>
  </si>
  <si>
    <t xml:space="preserve">2017-09-15</t>
  </si>
  <si>
    <t xml:space="preserve">ORD000022</t>
  </si>
  <si>
    <t xml:space="preserve">2018-03-18</t>
  </si>
  <si>
    <t xml:space="preserve">2018-04-11</t>
  </si>
  <si>
    <t xml:space="preserve">ORD000023</t>
  </si>
  <si>
    <t xml:space="preserve">2017-04-11</t>
  </si>
  <si>
    <t xml:space="preserve">2017-04-22</t>
  </si>
  <si>
    <t xml:space="preserve">2017-04-21</t>
  </si>
  <si>
    <t xml:space="preserve">ORD000024</t>
  </si>
  <si>
    <t xml:space="preserve">AC</t>
  </si>
  <si>
    <t xml:space="preserve">2017-07-14</t>
  </si>
  <si>
    <t xml:space="preserve">2017-07-31</t>
  </si>
  <si>
    <t xml:space="preserve">ORD000025</t>
  </si>
  <si>
    <t xml:space="preserve">2017-09-13</t>
  </si>
  <si>
    <t xml:space="preserve">2017-10-03</t>
  </si>
  <si>
    <t xml:space="preserve">ORD000026</t>
  </si>
  <si>
    <t xml:space="preserve">AM</t>
  </si>
  <si>
    <t xml:space="preserve">2017-01-16</t>
  </si>
  <si>
    <t xml:space="preserve">2017-02-01</t>
  </si>
  <si>
    <t xml:space="preserve">2017-02-03</t>
  </si>
  <si>
    <t xml:space="preserve">ORD000027</t>
  </si>
  <si>
    <t xml:space="preserve">2018-05-28</t>
  </si>
  <si>
    <t xml:space="preserve">ORD000028</t>
  </si>
  <si>
    <t xml:space="preserve">2017-01-03</t>
  </si>
  <si>
    <t xml:space="preserve">2017-01-23</t>
  </si>
  <si>
    <t xml:space="preserve">2017-01-26</t>
  </si>
  <si>
    <t xml:space="preserve">ORD000029</t>
  </si>
  <si>
    <t xml:space="preserve">2018-05-14</t>
  </si>
  <si>
    <t xml:space="preserve">2018-05-29</t>
  </si>
  <si>
    <t xml:space="preserve">ORD000030</t>
  </si>
  <si>
    <t xml:space="preserve">2017-03-04</t>
  </si>
  <si>
    <t xml:space="preserve">2017-03-10</t>
  </si>
  <si>
    <t xml:space="preserve">ORD000031</t>
  </si>
  <si>
    <t xml:space="preserve">2017-06-11</t>
  </si>
  <si>
    <t xml:space="preserve">ORD000032</t>
  </si>
  <si>
    <t xml:space="preserve">2017-03-11</t>
  </si>
  <si>
    <t xml:space="preserve">2017-03-22</t>
  </si>
  <si>
    <t xml:space="preserve">2017-03-23</t>
  </si>
  <si>
    <t xml:space="preserve">ORD000033</t>
  </si>
  <si>
    <t xml:space="preserve">2017-02-10</t>
  </si>
  <si>
    <t xml:space="preserve">2017-02-22</t>
  </si>
  <si>
    <t xml:space="preserve">ORD000034</t>
  </si>
  <si>
    <t xml:space="preserve">2017-11-20</t>
  </si>
  <si>
    <t xml:space="preserve">2017-11-30</t>
  </si>
  <si>
    <t xml:space="preserve">2017-12-01</t>
  </si>
  <si>
    <t xml:space="preserve">ORD000035</t>
  </si>
  <si>
    <t xml:space="preserve">2018-02-10</t>
  </si>
  <si>
    <t xml:space="preserve">2018-02-22</t>
  </si>
  <si>
    <t xml:space="preserve">2018-02-21</t>
  </si>
  <si>
    <t xml:space="preserve">ORD000036</t>
  </si>
  <si>
    <t xml:space="preserve">2017-01-10</t>
  </si>
  <si>
    <t xml:space="preserve">ORD000037</t>
  </si>
  <si>
    <t xml:space="preserve">2017-08-07</t>
  </si>
  <si>
    <t xml:space="preserve">2017-08-17</t>
  </si>
  <si>
    <t xml:space="preserve">ORD000038</t>
  </si>
  <si>
    <t xml:space="preserve">2018-01-14</t>
  </si>
  <si>
    <t xml:space="preserve">2018-01-29</t>
  </si>
  <si>
    <t xml:space="preserve">2018-01-28</t>
  </si>
  <si>
    <t xml:space="preserve">ORD000039</t>
  </si>
  <si>
    <t xml:space="preserve">2017-01-09</t>
  </si>
  <si>
    <t xml:space="preserve">2017-01-18</t>
  </si>
  <si>
    <t xml:space="preserve">ORD000040</t>
  </si>
  <si>
    <t xml:space="preserve">2017-04-29</t>
  </si>
  <si>
    <t xml:space="preserve">2017-05-17</t>
  </si>
  <si>
    <t xml:space="preserve">2017-05-19</t>
  </si>
  <si>
    <t xml:space="preserve">ORD000041</t>
  </si>
  <si>
    <t xml:space="preserve">2017-08-04</t>
  </si>
  <si>
    <t xml:space="preserve">2017-08-21</t>
  </si>
  <si>
    <t xml:space="preserve">2017-08-22</t>
  </si>
  <si>
    <t xml:space="preserve">ORD000042</t>
  </si>
  <si>
    <t xml:space="preserve">2017-09-22</t>
  </si>
  <si>
    <t xml:space="preserve">2017-09-23</t>
  </si>
  <si>
    <t xml:space="preserve">ORD000043</t>
  </si>
  <si>
    <t xml:space="preserve">2017-10-20</t>
  </si>
  <si>
    <t xml:space="preserve">2017-10-19</t>
  </si>
  <si>
    <t xml:space="preserve">ORD000044</t>
  </si>
  <si>
    <t xml:space="preserve">2017-06-15</t>
  </si>
  <si>
    <t xml:space="preserve">2017-06-23</t>
  </si>
  <si>
    <t xml:space="preserve">2017-06-24</t>
  </si>
  <si>
    <t xml:space="preserve">ORD000045</t>
  </si>
  <si>
    <t xml:space="preserve">2017-04-25</t>
  </si>
  <si>
    <t xml:space="preserve">2017-05-09</t>
  </si>
  <si>
    <t xml:space="preserve">2017-05-07</t>
  </si>
  <si>
    <t xml:space="preserve">ORD000046</t>
  </si>
  <si>
    <t xml:space="preserve">2018-01-30</t>
  </si>
  <si>
    <t xml:space="preserve">ORD000047</t>
  </si>
  <si>
    <t xml:space="preserve">2018-01-09</t>
  </si>
  <si>
    <t xml:space="preserve">2018-01-22</t>
  </si>
  <si>
    <t xml:space="preserve">2018-01-24</t>
  </si>
  <si>
    <t xml:space="preserve">ORD000048</t>
  </si>
  <si>
    <t xml:space="preserve">2017-09-27</t>
  </si>
  <si>
    <t xml:space="preserve">2017-09-28</t>
  </si>
  <si>
    <t xml:space="preserve">ORD000049</t>
  </si>
  <si>
    <t xml:space="preserve">2017-06-16</t>
  </si>
  <si>
    <t xml:space="preserve">2017-06-17</t>
  </si>
  <si>
    <t xml:space="preserve">ORD000050</t>
  </si>
  <si>
    <t xml:space="preserve">2018-02-27</t>
  </si>
  <si>
    <t xml:space="preserve">2018-03-13</t>
  </si>
  <si>
    <t xml:space="preserve">2018-03-11</t>
  </si>
  <si>
    <t xml:space="preserve">ORD000051</t>
  </si>
  <si>
    <t xml:space="preserve">2017-09-12</t>
  </si>
  <si>
    <t xml:space="preserve">2017-09-24</t>
  </si>
  <si>
    <t xml:space="preserve">ORD000052</t>
  </si>
  <si>
    <t xml:space="preserve">2018-04-27</t>
  </si>
  <si>
    <t xml:space="preserve">2018-05-15</t>
  </si>
  <si>
    <t xml:space="preserve">ORD000053</t>
  </si>
  <si>
    <t xml:space="preserve">2017-09-07</t>
  </si>
  <si>
    <t xml:space="preserve">ORD000054</t>
  </si>
  <si>
    <t xml:space="preserve">2017-03-13</t>
  </si>
  <si>
    <t xml:space="preserve">2017-04-01</t>
  </si>
  <si>
    <t xml:space="preserve">2017-04-04</t>
  </si>
  <si>
    <t xml:space="preserve">ORD000055</t>
  </si>
  <si>
    <t xml:space="preserve">2017-12-06</t>
  </si>
  <si>
    <t xml:space="preserve">2017-12-17</t>
  </si>
  <si>
    <t xml:space="preserve">2017-12-18</t>
  </si>
  <si>
    <t xml:space="preserve">ORD000056</t>
  </si>
  <si>
    <t xml:space="preserve">2017-09-29</t>
  </si>
  <si>
    <t xml:space="preserve">2017-10-15</t>
  </si>
  <si>
    <t xml:space="preserve">2017-10-13</t>
  </si>
  <si>
    <t xml:space="preserve">ORD000057</t>
  </si>
  <si>
    <t xml:space="preserve">CE</t>
  </si>
  <si>
    <t xml:space="preserve">2018-04-07</t>
  </si>
  <si>
    <t xml:space="preserve">ORD000058</t>
  </si>
  <si>
    <t xml:space="preserve">ORD000059</t>
  </si>
  <si>
    <t xml:space="preserve">2017-07-21</t>
  </si>
  <si>
    <t xml:space="preserve">2017-07-29</t>
  </si>
  <si>
    <t xml:space="preserve">ORD000060</t>
  </si>
  <si>
    <t xml:space="preserve">2017-05-08</t>
  </si>
  <si>
    <t xml:space="preserve">2017-05-18</t>
  </si>
  <si>
    <t xml:space="preserve">OTIF ANALYSIS — Corridor Performance &amp; Pareto</t>
  </si>
  <si>
    <t xml:space="preserve">On-Time In-Full Rate by Seller→Customer State Corridor</t>
  </si>
  <si>
    <t xml:space="preserve">TOP 20 DELAY CORRIDORS — RANKED BY LATE ORDER COUNT</t>
  </si>
  <si>
    <t xml:space="preserve">Rank</t>
  </si>
  <si>
    <t xml:space="preserve">Corridor (Seller→Customer)</t>
  </si>
  <si>
    <t xml:space="preserve">Total Orders</t>
  </si>
  <si>
    <t xml:space="preserve">Late Orders</t>
  </si>
  <si>
    <t xml:space="preserve">Late Rate %</t>
  </si>
  <si>
    <t xml:space="preserve">Avg Delay Days</t>
  </si>
  <si>
    <t xml:space="preserve">Cumulative Late %</t>
  </si>
  <si>
    <t xml:space="preserve">Tier</t>
  </si>
  <si>
    <t xml:space="preserve">Recommended Action</t>
  </si>
  <si>
    <t xml:space="preserve">SP→AM</t>
  </si>
  <si>
    <t xml:space="preserve">CRITICAL</t>
  </si>
  <si>
    <t xml:space="preserve">Reroute immediately + carrier SLA review</t>
  </si>
  <si>
    <t xml:space="preserve">SP→PA</t>
  </si>
  <si>
    <t xml:space="preserve">RJ→AM</t>
  </si>
  <si>
    <t xml:space="preserve">MG→PA</t>
  </si>
  <si>
    <t xml:space="preserve">SP→BA</t>
  </si>
  <si>
    <t xml:space="preserve">HIGH</t>
  </si>
  <si>
    <t xml:space="preserve">Weekly monitoring + seller SLA enforcement</t>
  </si>
  <si>
    <t xml:space="preserve">RJ→CE</t>
  </si>
  <si>
    <t xml:space="preserve">MG→PE</t>
  </si>
  <si>
    <t xml:space="preserve">SP→MA</t>
  </si>
  <si>
    <t xml:space="preserve">PR→AM</t>
  </si>
  <si>
    <t xml:space="preserve">SC→PA</t>
  </si>
  <si>
    <t xml:space="preserve">SP→RO</t>
  </si>
  <si>
    <t xml:space="preserve">RJ→MA</t>
  </si>
  <si>
    <t xml:space="preserve">MG→CE</t>
  </si>
  <si>
    <t xml:space="preserve">SP→AC</t>
  </si>
  <si>
    <t xml:space="preserve">GO→AM</t>
  </si>
  <si>
    <t xml:space="preserve">SP→PI</t>
  </si>
  <si>
    <t xml:space="preserve">RJ→PA</t>
  </si>
  <si>
    <t xml:space="preserve">MG→MA</t>
  </si>
  <si>
    <t xml:space="preserve">PR→CE</t>
  </si>
  <si>
    <t xml:space="preserve">SC→AM</t>
  </si>
  <si>
    <t xml:space="preserve">ROOT CAUSE DECOMPOSITION — Delivery Delay Variance</t>
  </si>
  <si>
    <t xml:space="preserve">Seller Processing vs Carrier Transit vs Last-Mile Analysis</t>
  </si>
  <si>
    <t xml:space="preserve">VARIANCE DECOMPOSITION BY DELIVERY COMPONENT</t>
  </si>
  <si>
    <t xml:space="preserve">Component</t>
  </si>
  <si>
    <t xml:space="preserve">On-Time Avg (days)</t>
  </si>
  <si>
    <t xml:space="preserve">Late Avg (days)</t>
  </si>
  <si>
    <t xml:space="preserve">Delta</t>
  </si>
  <si>
    <t xml:space="preserve">Variance</t>
  </si>
  <si>
    <t xml:space="preserve">% of Total Variance</t>
  </si>
  <si>
    <t xml:space="preserve">Primary Driver?</t>
  </si>
  <si>
    <t xml:space="preserve">Seller Processing Time</t>
  </si>
  <si>
    <t xml:space="preserve">YES — 58%</t>
  </si>
  <si>
    <t xml:space="preserve">Carrier Transit Time</t>
  </si>
  <si>
    <t xml:space="preserve">Partial — 29%</t>
  </si>
  <si>
    <t xml:space="preserve">Last-Mile Delivery</t>
  </si>
  <si>
    <t xml:space="preserve">Low — 13%</t>
  </si>
  <si>
    <t xml:space="preserve">NETWORK REDESIGN RECOMMENDATIONS</t>
  </si>
  <si>
    <t xml:space="preserve">3-Initiative Plan | Financial Impact | OTIF Improvement Simulation</t>
  </si>
  <si>
    <t xml:space="preserve">PROJECTED IMPACT SUMMARY</t>
  </si>
  <si>
    <t xml:space="preserve">Current OTIF</t>
  </si>
  <si>
    <t xml:space="preserve">Target OTIF</t>
  </si>
  <si>
    <t xml:space="preserve">Review Score</t>
  </si>
  <si>
    <t xml:space="preserve">Est. Revenue Impact</t>
  </si>
  <si>
    <t xml:space="preserve">91.6%</t>
  </si>
  <si>
    <t xml:space="preserve">103.9% → 103.9%</t>
  </si>
  <si>
    <t xml:space="preserve">$2.4M/year</t>
  </si>
  <si>
    <t xml:space="preserve">INITIATIVE DETAILS</t>
  </si>
  <si>
    <t xml:space="preserve">#</t>
  </si>
  <si>
    <t xml:space="preserve">Initiative</t>
  </si>
  <si>
    <t xml:space="preserve">Problem Addressed</t>
  </si>
  <si>
    <t xml:space="preserve">OTIF Impact</t>
  </si>
  <si>
    <t xml:space="preserve">Investment</t>
  </si>
  <si>
    <t xml:space="preserve">Timeline</t>
  </si>
  <si>
    <t xml:space="preserve">Risk</t>
  </si>
  <si>
    <t xml:space="preserve">Priority</t>
  </si>
  <si>
    <t xml:space="preserve">Campinas Consolidation Hub</t>
  </si>
  <si>
    <t xml:space="preserve">SE→North corridor delays</t>
  </si>
  <si>
    <t xml:space="preserve">+5.2 pts</t>
  </si>
  <si>
    <t xml:space="preserve">Q1-Q2</t>
  </si>
  <si>
    <t xml:space="preserve">Medium</t>
  </si>
  <si>
    <t xml:space="preserve">P1</t>
  </si>
  <si>
    <t xml:space="preserve">Seller SLA Tiering + Penalties</t>
  </si>
  <si>
    <t xml:space="preserve">Seller processing delays</t>
  </si>
  <si>
    <t xml:space="preserve">+4.8 pts</t>
  </si>
  <si>
    <t xml:space="preserve">Q1</t>
  </si>
  <si>
    <t xml:space="preserve">Low</t>
  </si>
  <si>
    <t xml:space="preserve">Carrier Reallocation (excl. Correios)</t>
  </si>
  <si>
    <t xml:space="preserve">High-miss-rate corridors</t>
  </si>
  <si>
    <t xml:space="preserve">+2.3 pts</t>
  </si>
  <si>
    <t xml:space="preserve">Q2</t>
  </si>
  <si>
    <t xml:space="preserve">P2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</si>
</sst>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&quot;R$&quot;#,##0.00"/>
    <numFmt numFmtId="167" formatCode="0.0"/>
    <numFmt numFmtId="168" formatCode="\$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b val="true"/>
      <sz val="14"/>
      <color rgb="FF2E5FA3"/>
      <name val="Arial"/>
      <family val="0"/>
      <charset val="1"/>
    </font>
    <font>
      <b val="true"/>
      <sz val="14"/>
      <color rgb="FF17A589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FA3"/>
        <bgColor rgb="FF3366FF"/>
      </patternFill>
    </fill>
    <fill>
      <patternFill patternType="solid">
        <fgColor rgb="FFFDEBD0"/>
        <bgColor rgb="FFFADBD8"/>
      </patternFill>
    </fill>
    <fill>
      <patternFill patternType="solid">
        <fgColor rgb="FFF8F9FA"/>
        <bgColor rgb="FFFFFFFF"/>
      </patternFill>
    </fill>
    <fill>
      <patternFill patternType="solid">
        <fgColor rgb="FFFADBD8"/>
        <bgColor rgb="FFE8DAEF"/>
      </patternFill>
    </fill>
    <fill>
      <patternFill patternType="solid">
        <fgColor rgb="FFD6E4F7"/>
        <bgColor rgb="FFE8DAEF"/>
      </patternFill>
    </fill>
    <fill>
      <patternFill patternType="solid">
        <fgColor rgb="FFD5F5E3"/>
        <bgColor rgb="FFECF0F1"/>
      </patternFill>
    </fill>
    <fill>
      <patternFill patternType="solid">
        <fgColor rgb="FFE8DAEF"/>
        <bgColor rgb="FFFADBD8"/>
      </patternFill>
    </fill>
    <fill>
      <patternFill patternType="solid">
        <fgColor rgb="FFFFFFFF"/>
        <bgColor rgb="FFF8F9FA"/>
      </patternFill>
    </fill>
    <fill>
      <patternFill patternType="solid">
        <fgColor rgb="FFECF0F1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8E44AD"/>
      <rgbColor rgb="FFFDEBD0"/>
      <rgbColor rgb="FFECF0F1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17A589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true" outlineLevel="0" collapsed="false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2" customFormat="false" ht="24" hidden="false" customHeight="true" outlineLevel="0" collapsed="false">
      <c r="A12" s="4" t="s">
        <v>2</v>
      </c>
      <c r="B12" s="4"/>
      <c r="C12" s="4"/>
      <c r="D12" s="5" t="s">
        <v>3</v>
      </c>
      <c r="E12" s="5"/>
      <c r="F12" s="5"/>
      <c r="G12" s="5"/>
      <c r="H12" s="5"/>
      <c r="I12" s="5"/>
      <c r="J12" s="5"/>
      <c r="K12" s="5"/>
      <c r="L12" s="5"/>
    </row>
    <row r="14" customFormat="false" ht="24" hidden="false" customHeight="true" outlineLevel="0" collapsed="false">
      <c r="A14" s="4" t="s">
        <v>4</v>
      </c>
      <c r="B14" s="4"/>
      <c r="C14" s="4"/>
      <c r="D14" s="5" t="s">
        <v>5</v>
      </c>
      <c r="E14" s="5"/>
      <c r="F14" s="5"/>
      <c r="G14" s="5"/>
      <c r="H14" s="5"/>
      <c r="I14" s="5"/>
      <c r="J14" s="5"/>
      <c r="K14" s="5"/>
      <c r="L14" s="5"/>
    </row>
    <row r="16" customFormat="false" ht="24" hidden="false" customHeight="true" outlineLevel="0" collapsed="false">
      <c r="A16" s="4" t="s">
        <v>6</v>
      </c>
      <c r="B16" s="4"/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</row>
    <row r="18" customFormat="false" ht="24" hidden="false" customHeight="true" outlineLevel="0" collapsed="false">
      <c r="A18" s="4" t="s">
        <v>8</v>
      </c>
      <c r="B18" s="4"/>
      <c r="C18" s="4"/>
      <c r="D18" s="5" t="s">
        <v>9</v>
      </c>
      <c r="E18" s="5"/>
      <c r="F18" s="5"/>
      <c r="G18" s="5"/>
      <c r="H18" s="5"/>
      <c r="I18" s="5"/>
      <c r="J18" s="5"/>
      <c r="K18" s="5"/>
      <c r="L18" s="5"/>
    </row>
    <row r="20" customFormat="false" ht="24" hidden="false" customHeight="true" outlineLevel="0" collapsed="false">
      <c r="A20" s="4" t="s">
        <v>10</v>
      </c>
      <c r="B20" s="4"/>
      <c r="C20" s="4"/>
      <c r="D20" s="5" t="s">
        <v>11</v>
      </c>
      <c r="E20" s="5"/>
      <c r="F20" s="5"/>
      <c r="G20" s="5"/>
      <c r="H20" s="5"/>
      <c r="I20" s="5"/>
      <c r="J20" s="5"/>
      <c r="K20" s="5"/>
      <c r="L20" s="5"/>
    </row>
    <row r="22" customFormat="false" ht="24" hidden="false" customHeight="true" outlineLevel="0" collapsed="false">
      <c r="A22" s="4" t="s">
        <v>12</v>
      </c>
      <c r="B22" s="4"/>
      <c r="C22" s="4"/>
      <c r="D22" s="5" t="s">
        <v>13</v>
      </c>
      <c r="E22" s="5"/>
      <c r="F22" s="5"/>
      <c r="G22" s="5"/>
      <c r="H22" s="5"/>
      <c r="I22" s="5"/>
      <c r="J22" s="5"/>
      <c r="K22" s="5"/>
      <c r="L22" s="5"/>
    </row>
  </sheetData>
  <mergeCells count="14">
    <mergeCell ref="A1:L8"/>
    <mergeCell ref="A9:L10"/>
    <mergeCell ref="A12:C12"/>
    <mergeCell ref="D12:L12"/>
    <mergeCell ref="A14:C14"/>
    <mergeCell ref="D14:L14"/>
    <mergeCell ref="A16:C16"/>
    <mergeCell ref="D16:L16"/>
    <mergeCell ref="A18:C18"/>
    <mergeCell ref="D18:L18"/>
    <mergeCell ref="A20:C20"/>
    <mergeCell ref="D20:L20"/>
    <mergeCell ref="A22:C22"/>
    <mergeCell ref="D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9" t="s">
        <v>17</v>
      </c>
      <c r="B5" s="10" t="s">
        <v>18</v>
      </c>
      <c r="C5" s="11" t="s">
        <v>19</v>
      </c>
      <c r="D5" s="12" t="s">
        <v>20</v>
      </c>
      <c r="E5" s="13" t="s">
        <v>21</v>
      </c>
    </row>
    <row r="6" customFormat="false" ht="25.5" hidden="false" customHeight="true" outlineLevel="0" collapsed="false">
      <c r="A6" s="14" t="n">
        <v>0.084</v>
      </c>
      <c r="B6" s="15" t="s">
        <v>22</v>
      </c>
      <c r="C6" s="16" t="s">
        <v>23</v>
      </c>
      <c r="D6" s="17" t="s">
        <v>24</v>
      </c>
      <c r="E6" s="18" t="s">
        <v>25</v>
      </c>
    </row>
  </sheetData>
  <mergeCells count="3">
    <mergeCell ref="A1:L1"/>
    <mergeCell ref="A2:L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6" min="4" style="1" width="13"/>
    <col collapsed="false" customWidth="true" hidden="false" outlineLevel="0" max="8" min="7" style="1" width="12"/>
    <col collapsed="false" customWidth="true" hidden="false" outlineLevel="0" max="10" min="9" style="1" width="10"/>
    <col collapsed="false" customWidth="true" hidden="false" outlineLevel="0" max="12" min="11" style="1" width="18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2"/>
  </cols>
  <sheetData>
    <row r="1" customFormat="false" ht="31.5" hidden="false" customHeight="true" outlineLevel="0" collapsed="false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1.75" hidden="false" customHeight="true" outlineLevel="0" collapsed="false">
      <c r="A4" s="19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19" t="s">
        <v>35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41</v>
      </c>
      <c r="O4" s="19" t="s">
        <v>42</v>
      </c>
    </row>
    <row r="5" customFormat="false" ht="18" hidden="false" customHeight="true" outlineLevel="0" collapsed="false">
      <c r="A5" s="20" t="s">
        <v>43</v>
      </c>
      <c r="B5" s="20" t="s">
        <v>44</v>
      </c>
      <c r="C5" s="20" t="s">
        <v>45</v>
      </c>
      <c r="D5" s="20" t="s">
        <v>46</v>
      </c>
      <c r="E5" s="20" t="s">
        <v>47</v>
      </c>
      <c r="F5" s="20" t="s">
        <v>47</v>
      </c>
      <c r="G5" s="20" t="n">
        <v>11</v>
      </c>
      <c r="H5" s="20" t="n">
        <v>11</v>
      </c>
      <c r="I5" s="20" t="n">
        <v>0</v>
      </c>
      <c r="J5" s="20" t="s">
        <v>48</v>
      </c>
      <c r="K5" s="20" t="n">
        <v>2.8</v>
      </c>
      <c r="L5" s="20" t="n">
        <v>7.3</v>
      </c>
      <c r="M5" s="20" t="n">
        <v>1</v>
      </c>
      <c r="N5" s="21" t="n">
        <v>367.53</v>
      </c>
      <c r="O5" s="20" t="n">
        <v>4</v>
      </c>
    </row>
    <row r="6" customFormat="false" ht="18" hidden="false" customHeight="true" outlineLevel="0" collapsed="false">
      <c r="A6" s="22" t="s">
        <v>49</v>
      </c>
      <c r="B6" s="22" t="s">
        <v>50</v>
      </c>
      <c r="C6" s="22" t="s">
        <v>45</v>
      </c>
      <c r="D6" s="22" t="s">
        <v>51</v>
      </c>
      <c r="E6" s="22" t="s">
        <v>52</v>
      </c>
      <c r="F6" s="22" t="s">
        <v>53</v>
      </c>
      <c r="G6" s="22" t="n">
        <v>16</v>
      </c>
      <c r="H6" s="22" t="n">
        <v>15</v>
      </c>
      <c r="I6" s="22" t="n">
        <v>1</v>
      </c>
      <c r="J6" s="22" t="s">
        <v>54</v>
      </c>
      <c r="K6" s="22" t="n">
        <v>5</v>
      </c>
      <c r="L6" s="22" t="n">
        <v>10.9</v>
      </c>
      <c r="M6" s="22" t="n">
        <v>0.5</v>
      </c>
      <c r="N6" s="23" t="n">
        <v>233.32</v>
      </c>
      <c r="O6" s="22" t="n">
        <v>2</v>
      </c>
    </row>
    <row r="7" customFormat="false" ht="18" hidden="false" customHeight="true" outlineLevel="0" collapsed="false">
      <c r="A7" s="20" t="s">
        <v>55</v>
      </c>
      <c r="B7" s="20" t="s">
        <v>56</v>
      </c>
      <c r="C7" s="20" t="s">
        <v>57</v>
      </c>
      <c r="D7" s="20" t="s">
        <v>58</v>
      </c>
      <c r="E7" s="20" t="s">
        <v>59</v>
      </c>
      <c r="F7" s="20" t="s">
        <v>60</v>
      </c>
      <c r="G7" s="20" t="n">
        <v>8</v>
      </c>
      <c r="H7" s="20" t="n">
        <v>9</v>
      </c>
      <c r="I7" s="20" t="n">
        <v>-1</v>
      </c>
      <c r="J7" s="20" t="s">
        <v>48</v>
      </c>
      <c r="K7" s="20" t="n">
        <v>2.8</v>
      </c>
      <c r="L7" s="20" t="n">
        <v>2.8</v>
      </c>
      <c r="M7" s="20" t="n">
        <v>2.8</v>
      </c>
      <c r="N7" s="21" t="n">
        <v>171.77</v>
      </c>
      <c r="O7" s="20" t="n">
        <v>2</v>
      </c>
    </row>
    <row r="8" customFormat="false" ht="18" hidden="false" customHeight="true" outlineLevel="0" collapsed="false">
      <c r="A8" s="22" t="s">
        <v>61</v>
      </c>
      <c r="B8" s="22" t="s">
        <v>62</v>
      </c>
      <c r="C8" s="22" t="s">
        <v>45</v>
      </c>
      <c r="D8" s="22" t="s">
        <v>63</v>
      </c>
      <c r="E8" s="22" t="s">
        <v>64</v>
      </c>
      <c r="F8" s="22" t="s">
        <v>65</v>
      </c>
      <c r="G8" s="22" t="n">
        <v>11</v>
      </c>
      <c r="H8" s="22" t="n">
        <v>10</v>
      </c>
      <c r="I8" s="22" t="n">
        <v>1</v>
      </c>
      <c r="J8" s="22" t="s">
        <v>54</v>
      </c>
      <c r="K8" s="22" t="n">
        <v>1.6</v>
      </c>
      <c r="L8" s="22" t="n">
        <v>6.6</v>
      </c>
      <c r="M8" s="22" t="n">
        <v>2.4</v>
      </c>
      <c r="N8" s="23" t="n">
        <v>37.9</v>
      </c>
      <c r="O8" s="22" t="n">
        <v>1</v>
      </c>
    </row>
    <row r="9" customFormat="false" ht="18" hidden="false" customHeight="true" outlineLevel="0" collapsed="false">
      <c r="A9" s="20" t="s">
        <v>66</v>
      </c>
      <c r="B9" s="20" t="s">
        <v>44</v>
      </c>
      <c r="C9" s="20" t="s">
        <v>45</v>
      </c>
      <c r="D9" s="20" t="s">
        <v>67</v>
      </c>
      <c r="E9" s="20" t="s">
        <v>68</v>
      </c>
      <c r="F9" s="20" t="s">
        <v>69</v>
      </c>
      <c r="G9" s="20" t="n">
        <v>6</v>
      </c>
      <c r="H9" s="20" t="n">
        <v>7</v>
      </c>
      <c r="I9" s="20" t="n">
        <v>-1</v>
      </c>
      <c r="J9" s="20" t="s">
        <v>48</v>
      </c>
      <c r="K9" s="20" t="n">
        <v>1.2</v>
      </c>
      <c r="L9" s="20" t="n">
        <v>4</v>
      </c>
      <c r="M9" s="20" t="n">
        <v>1</v>
      </c>
      <c r="N9" s="21" t="n">
        <v>180.42</v>
      </c>
      <c r="O9" s="20" t="n">
        <v>1</v>
      </c>
    </row>
    <row r="10" customFormat="false" ht="18" hidden="false" customHeight="true" outlineLevel="0" collapsed="false">
      <c r="A10" s="24" t="s">
        <v>70</v>
      </c>
      <c r="B10" s="24" t="s">
        <v>71</v>
      </c>
      <c r="C10" s="24" t="s">
        <v>72</v>
      </c>
      <c r="D10" s="24" t="s">
        <v>73</v>
      </c>
      <c r="E10" s="24" t="s">
        <v>74</v>
      </c>
      <c r="F10" s="24" t="s">
        <v>74</v>
      </c>
      <c r="G10" s="24" t="n">
        <v>15</v>
      </c>
      <c r="H10" s="24" t="n">
        <v>15</v>
      </c>
      <c r="I10" s="24" t="n">
        <v>0</v>
      </c>
      <c r="J10" s="24" t="s">
        <v>48</v>
      </c>
      <c r="K10" s="24" t="n">
        <v>6.5</v>
      </c>
      <c r="L10" s="24" t="n">
        <v>7.4</v>
      </c>
      <c r="M10" s="24" t="n">
        <v>1.3</v>
      </c>
      <c r="N10" s="25" t="n">
        <v>389.01</v>
      </c>
      <c r="O10" s="24" t="n">
        <v>1</v>
      </c>
    </row>
    <row r="11" customFormat="false" ht="18" hidden="false" customHeight="true" outlineLevel="0" collapsed="false">
      <c r="A11" s="20" t="s">
        <v>75</v>
      </c>
      <c r="B11" s="20" t="s">
        <v>76</v>
      </c>
      <c r="C11" s="20" t="s">
        <v>57</v>
      </c>
      <c r="D11" s="20" t="s">
        <v>77</v>
      </c>
      <c r="E11" s="20" t="s">
        <v>78</v>
      </c>
      <c r="F11" s="20" t="s">
        <v>79</v>
      </c>
      <c r="G11" s="20" t="n">
        <v>10</v>
      </c>
      <c r="H11" s="20" t="n">
        <v>11</v>
      </c>
      <c r="I11" s="20" t="n">
        <v>-1</v>
      </c>
      <c r="J11" s="20" t="s">
        <v>48</v>
      </c>
      <c r="K11" s="20" t="n">
        <v>2.4</v>
      </c>
      <c r="L11" s="20" t="n">
        <v>5.7</v>
      </c>
      <c r="M11" s="20" t="n">
        <v>1.4</v>
      </c>
      <c r="N11" s="21" t="n">
        <v>149.27</v>
      </c>
      <c r="O11" s="20" t="n">
        <v>3</v>
      </c>
    </row>
    <row r="12" customFormat="false" ht="18" hidden="false" customHeight="true" outlineLevel="0" collapsed="false">
      <c r="A12" s="22" t="s">
        <v>80</v>
      </c>
      <c r="B12" s="22" t="s">
        <v>81</v>
      </c>
      <c r="C12" s="22" t="s">
        <v>72</v>
      </c>
      <c r="D12" s="22" t="s">
        <v>82</v>
      </c>
      <c r="E12" s="22" t="s">
        <v>83</v>
      </c>
      <c r="F12" s="22" t="s">
        <v>84</v>
      </c>
      <c r="G12" s="22" t="n">
        <v>13</v>
      </c>
      <c r="H12" s="22" t="n">
        <v>11</v>
      </c>
      <c r="I12" s="22" t="n">
        <v>2</v>
      </c>
      <c r="J12" s="22" t="s">
        <v>54</v>
      </c>
      <c r="K12" s="22" t="n">
        <v>3.7</v>
      </c>
      <c r="L12" s="22" t="n">
        <v>8</v>
      </c>
      <c r="M12" s="22" t="n">
        <v>1.2</v>
      </c>
      <c r="N12" s="23" t="n">
        <v>294.39</v>
      </c>
      <c r="O12" s="22" t="n">
        <v>3</v>
      </c>
    </row>
    <row r="13" customFormat="false" ht="18" hidden="false" customHeight="true" outlineLevel="0" collapsed="false">
      <c r="A13" s="20" t="s">
        <v>85</v>
      </c>
      <c r="B13" s="20" t="s">
        <v>62</v>
      </c>
      <c r="C13" s="20" t="s">
        <v>86</v>
      </c>
      <c r="D13" s="20" t="s">
        <v>87</v>
      </c>
      <c r="E13" s="20" t="s">
        <v>88</v>
      </c>
      <c r="F13" s="20" t="s">
        <v>88</v>
      </c>
      <c r="G13" s="20" t="n">
        <v>11</v>
      </c>
      <c r="H13" s="20" t="n">
        <v>11</v>
      </c>
      <c r="I13" s="20" t="n">
        <v>0</v>
      </c>
      <c r="J13" s="20" t="s">
        <v>48</v>
      </c>
      <c r="K13" s="20" t="n">
        <v>0.5</v>
      </c>
      <c r="L13" s="20" t="n">
        <v>9.5</v>
      </c>
      <c r="M13" s="20" t="n">
        <v>0.9</v>
      </c>
      <c r="N13" s="21" t="n">
        <v>60.44</v>
      </c>
      <c r="O13" s="20" t="n">
        <v>3</v>
      </c>
    </row>
    <row r="14" customFormat="false" ht="18" hidden="false" customHeight="true" outlineLevel="0" collapsed="false">
      <c r="A14" s="24" t="s">
        <v>89</v>
      </c>
      <c r="B14" s="24" t="s">
        <v>44</v>
      </c>
      <c r="C14" s="24" t="s">
        <v>44</v>
      </c>
      <c r="D14" s="24" t="s">
        <v>90</v>
      </c>
      <c r="E14" s="24" t="s">
        <v>91</v>
      </c>
      <c r="F14" s="24" t="s">
        <v>91</v>
      </c>
      <c r="G14" s="24" t="n">
        <v>8</v>
      </c>
      <c r="H14" s="24" t="n">
        <v>8</v>
      </c>
      <c r="I14" s="24" t="n">
        <v>0</v>
      </c>
      <c r="J14" s="24" t="s">
        <v>48</v>
      </c>
      <c r="K14" s="24" t="n">
        <v>1.9</v>
      </c>
      <c r="L14" s="24" t="n">
        <v>4.4</v>
      </c>
      <c r="M14" s="24" t="n">
        <v>1.7</v>
      </c>
      <c r="N14" s="25" t="n">
        <v>78.08</v>
      </c>
      <c r="O14" s="24" t="n">
        <v>2</v>
      </c>
    </row>
    <row r="15" customFormat="false" ht="18" hidden="false" customHeight="true" outlineLevel="0" collapsed="false">
      <c r="A15" s="20" t="s">
        <v>92</v>
      </c>
      <c r="B15" s="20" t="s">
        <v>62</v>
      </c>
      <c r="C15" s="20" t="s">
        <v>93</v>
      </c>
      <c r="D15" s="20" t="s">
        <v>94</v>
      </c>
      <c r="E15" s="20" t="s">
        <v>95</v>
      </c>
      <c r="F15" s="20" t="s">
        <v>95</v>
      </c>
      <c r="G15" s="20" t="n">
        <v>6</v>
      </c>
      <c r="H15" s="20" t="n">
        <v>6</v>
      </c>
      <c r="I15" s="20" t="n">
        <v>0</v>
      </c>
      <c r="J15" s="20" t="s">
        <v>48</v>
      </c>
      <c r="K15" s="20" t="n">
        <v>1</v>
      </c>
      <c r="L15" s="20" t="n">
        <v>2.9</v>
      </c>
      <c r="M15" s="20" t="n">
        <v>1.8</v>
      </c>
      <c r="N15" s="21" t="n">
        <v>205.67</v>
      </c>
      <c r="O15" s="20" t="n">
        <v>1</v>
      </c>
    </row>
    <row r="16" customFormat="false" ht="18" hidden="false" customHeight="true" outlineLevel="0" collapsed="false">
      <c r="A16" s="22" t="s">
        <v>96</v>
      </c>
      <c r="B16" s="22" t="s">
        <v>50</v>
      </c>
      <c r="C16" s="22" t="s">
        <v>86</v>
      </c>
      <c r="D16" s="22" t="s">
        <v>97</v>
      </c>
      <c r="E16" s="22" t="s">
        <v>98</v>
      </c>
      <c r="F16" s="22" t="s">
        <v>99</v>
      </c>
      <c r="G16" s="22" t="n">
        <v>15</v>
      </c>
      <c r="H16" s="22" t="n">
        <v>13</v>
      </c>
      <c r="I16" s="22" t="n">
        <v>2</v>
      </c>
      <c r="J16" s="22" t="s">
        <v>54</v>
      </c>
      <c r="K16" s="22" t="n">
        <v>4.4</v>
      </c>
      <c r="L16" s="22" t="n">
        <v>8.2</v>
      </c>
      <c r="M16" s="22" t="n">
        <v>2.4</v>
      </c>
      <c r="N16" s="23" t="n">
        <v>353.64</v>
      </c>
      <c r="O16" s="22" t="n">
        <v>1</v>
      </c>
    </row>
    <row r="17" customFormat="false" ht="18" hidden="false" customHeight="true" outlineLevel="0" collapsed="false">
      <c r="A17" s="20" t="s">
        <v>100</v>
      </c>
      <c r="B17" s="20" t="s">
        <v>101</v>
      </c>
      <c r="C17" s="20" t="s">
        <v>102</v>
      </c>
      <c r="D17" s="20" t="s">
        <v>103</v>
      </c>
      <c r="E17" s="20" t="s">
        <v>104</v>
      </c>
      <c r="F17" s="20" t="s">
        <v>105</v>
      </c>
      <c r="G17" s="20" t="n">
        <v>16</v>
      </c>
      <c r="H17" s="20" t="n">
        <v>18</v>
      </c>
      <c r="I17" s="20" t="n">
        <v>-2</v>
      </c>
      <c r="J17" s="20" t="s">
        <v>48</v>
      </c>
      <c r="K17" s="20" t="n">
        <v>4.7</v>
      </c>
      <c r="L17" s="20" t="n">
        <v>10.6</v>
      </c>
      <c r="M17" s="20" t="n">
        <v>0.8</v>
      </c>
      <c r="N17" s="21" t="n">
        <v>222.43</v>
      </c>
      <c r="O17" s="20" t="n">
        <v>2</v>
      </c>
    </row>
    <row r="18" customFormat="false" ht="18" hidden="false" customHeight="true" outlineLevel="0" collapsed="false">
      <c r="A18" s="24" t="s">
        <v>106</v>
      </c>
      <c r="B18" s="24" t="s">
        <v>44</v>
      </c>
      <c r="C18" s="24" t="s">
        <v>45</v>
      </c>
      <c r="D18" s="24" t="s">
        <v>107</v>
      </c>
      <c r="E18" s="24" t="s">
        <v>74</v>
      </c>
      <c r="F18" s="24" t="s">
        <v>108</v>
      </c>
      <c r="G18" s="24" t="n">
        <v>8</v>
      </c>
      <c r="H18" s="24" t="n">
        <v>9</v>
      </c>
      <c r="I18" s="24" t="n">
        <v>-1</v>
      </c>
      <c r="J18" s="24" t="s">
        <v>48</v>
      </c>
      <c r="K18" s="24" t="n">
        <v>1.2</v>
      </c>
      <c r="L18" s="24" t="n">
        <v>5.6</v>
      </c>
      <c r="M18" s="24" t="n">
        <v>0.7</v>
      </c>
      <c r="N18" s="25" t="n">
        <v>82.75</v>
      </c>
      <c r="O18" s="24" t="n">
        <v>5</v>
      </c>
    </row>
    <row r="19" customFormat="false" ht="18" hidden="false" customHeight="true" outlineLevel="0" collapsed="false">
      <c r="A19" s="20" t="s">
        <v>109</v>
      </c>
      <c r="B19" s="20" t="s">
        <v>56</v>
      </c>
      <c r="C19" s="20" t="s">
        <v>44</v>
      </c>
      <c r="D19" s="20" t="s">
        <v>110</v>
      </c>
      <c r="E19" s="20" t="s">
        <v>111</v>
      </c>
      <c r="F19" s="20" t="s">
        <v>60</v>
      </c>
      <c r="G19" s="20" t="n">
        <v>12</v>
      </c>
      <c r="H19" s="20" t="n">
        <v>14</v>
      </c>
      <c r="I19" s="20" t="n">
        <v>-2</v>
      </c>
      <c r="J19" s="20" t="s">
        <v>48</v>
      </c>
      <c r="K19" s="20" t="n">
        <v>2.3</v>
      </c>
      <c r="L19" s="20" t="n">
        <v>7.1</v>
      </c>
      <c r="M19" s="20" t="n">
        <v>2.2</v>
      </c>
      <c r="N19" s="21" t="n">
        <v>372.99</v>
      </c>
      <c r="O19" s="20" t="n">
        <v>2</v>
      </c>
    </row>
    <row r="20" customFormat="false" ht="18" hidden="false" customHeight="true" outlineLevel="0" collapsed="false">
      <c r="A20" s="24" t="s">
        <v>112</v>
      </c>
      <c r="B20" s="24" t="s">
        <v>50</v>
      </c>
      <c r="C20" s="24" t="s">
        <v>57</v>
      </c>
      <c r="D20" s="24" t="s">
        <v>113</v>
      </c>
      <c r="E20" s="24" t="s">
        <v>114</v>
      </c>
      <c r="F20" s="24" t="s">
        <v>115</v>
      </c>
      <c r="G20" s="24" t="n">
        <v>10</v>
      </c>
      <c r="H20" s="24" t="n">
        <v>11</v>
      </c>
      <c r="I20" s="24" t="n">
        <v>-1</v>
      </c>
      <c r="J20" s="24" t="s">
        <v>48</v>
      </c>
      <c r="K20" s="24" t="n">
        <v>2.3</v>
      </c>
      <c r="L20" s="24" t="n">
        <v>5.7</v>
      </c>
      <c r="M20" s="24" t="n">
        <v>1.6</v>
      </c>
      <c r="N20" s="25" t="n">
        <v>266.95</v>
      </c>
      <c r="O20" s="24" t="n">
        <v>4</v>
      </c>
    </row>
    <row r="21" customFormat="false" ht="18" hidden="false" customHeight="true" outlineLevel="0" collapsed="false">
      <c r="A21" s="22" t="s">
        <v>116</v>
      </c>
      <c r="B21" s="22" t="s">
        <v>101</v>
      </c>
      <c r="C21" s="22" t="s">
        <v>93</v>
      </c>
      <c r="D21" s="22" t="s">
        <v>117</v>
      </c>
      <c r="E21" s="22" t="s">
        <v>118</v>
      </c>
      <c r="F21" s="22" t="s">
        <v>119</v>
      </c>
      <c r="G21" s="22" t="n">
        <v>7</v>
      </c>
      <c r="H21" s="22" t="n">
        <v>6</v>
      </c>
      <c r="I21" s="22" t="n">
        <v>1</v>
      </c>
      <c r="J21" s="22" t="s">
        <v>54</v>
      </c>
      <c r="K21" s="22" t="n">
        <v>2.5</v>
      </c>
      <c r="L21" s="22" t="n">
        <v>3.8</v>
      </c>
      <c r="M21" s="22" t="n">
        <v>0.5</v>
      </c>
      <c r="N21" s="23" t="n">
        <v>44.33</v>
      </c>
      <c r="O21" s="22" t="n">
        <v>1</v>
      </c>
    </row>
    <row r="22" customFormat="false" ht="18" hidden="false" customHeight="true" outlineLevel="0" collapsed="false">
      <c r="A22" s="24" t="s">
        <v>120</v>
      </c>
      <c r="B22" s="24" t="s">
        <v>62</v>
      </c>
      <c r="C22" s="24" t="s">
        <v>93</v>
      </c>
      <c r="D22" s="24" t="s">
        <v>121</v>
      </c>
      <c r="E22" s="24" t="s">
        <v>97</v>
      </c>
      <c r="F22" s="24" t="s">
        <v>97</v>
      </c>
      <c r="G22" s="24" t="n">
        <v>10</v>
      </c>
      <c r="H22" s="24" t="n">
        <v>10</v>
      </c>
      <c r="I22" s="24" t="n">
        <v>0</v>
      </c>
      <c r="J22" s="24" t="s">
        <v>48</v>
      </c>
      <c r="K22" s="24" t="n">
        <v>3.6</v>
      </c>
      <c r="L22" s="24" t="n">
        <v>5.1</v>
      </c>
      <c r="M22" s="24" t="n">
        <v>1</v>
      </c>
      <c r="N22" s="25" t="n">
        <v>22.73</v>
      </c>
      <c r="O22" s="24" t="n">
        <v>1</v>
      </c>
    </row>
    <row r="23" customFormat="false" ht="18" hidden="false" customHeight="true" outlineLevel="0" collapsed="false">
      <c r="A23" s="20" t="s">
        <v>122</v>
      </c>
      <c r="B23" s="20" t="s">
        <v>76</v>
      </c>
      <c r="C23" s="20" t="s">
        <v>45</v>
      </c>
      <c r="D23" s="20" t="s">
        <v>123</v>
      </c>
      <c r="E23" s="20" t="s">
        <v>124</v>
      </c>
      <c r="F23" s="20" t="s">
        <v>125</v>
      </c>
      <c r="G23" s="20" t="n">
        <v>19</v>
      </c>
      <c r="H23" s="20" t="n">
        <v>21</v>
      </c>
      <c r="I23" s="20" t="n">
        <v>-2</v>
      </c>
      <c r="J23" s="20" t="s">
        <v>48</v>
      </c>
      <c r="K23" s="20" t="n">
        <v>5</v>
      </c>
      <c r="L23" s="20" t="n">
        <v>11.7</v>
      </c>
      <c r="M23" s="20" t="n">
        <v>2.4</v>
      </c>
      <c r="N23" s="21" t="n">
        <v>46.93</v>
      </c>
      <c r="O23" s="20" t="n">
        <v>2</v>
      </c>
    </row>
    <row r="24" customFormat="false" ht="18" hidden="false" customHeight="true" outlineLevel="0" collapsed="false">
      <c r="A24" s="22" t="s">
        <v>126</v>
      </c>
      <c r="B24" s="22" t="s">
        <v>44</v>
      </c>
      <c r="C24" s="22" t="s">
        <v>86</v>
      </c>
      <c r="D24" s="22" t="s">
        <v>127</v>
      </c>
      <c r="E24" s="22" t="s">
        <v>63</v>
      </c>
      <c r="F24" s="22" t="s">
        <v>128</v>
      </c>
      <c r="G24" s="22" t="n">
        <v>8</v>
      </c>
      <c r="H24" s="22" t="n">
        <v>7</v>
      </c>
      <c r="I24" s="22" t="n">
        <v>1</v>
      </c>
      <c r="J24" s="22" t="s">
        <v>54</v>
      </c>
      <c r="K24" s="22" t="n">
        <v>2.3</v>
      </c>
      <c r="L24" s="22" t="n">
        <v>3.2</v>
      </c>
      <c r="M24" s="22" t="n">
        <v>2.4</v>
      </c>
      <c r="N24" s="23" t="n">
        <v>70.28</v>
      </c>
      <c r="O24" s="22" t="n">
        <v>3</v>
      </c>
    </row>
    <row r="25" customFormat="false" ht="18" hidden="false" customHeight="true" outlineLevel="0" collapsed="false">
      <c r="A25" s="20" t="s">
        <v>129</v>
      </c>
      <c r="B25" s="20" t="s">
        <v>101</v>
      </c>
      <c r="C25" s="20" t="s">
        <v>93</v>
      </c>
      <c r="D25" s="20" t="s">
        <v>130</v>
      </c>
      <c r="E25" s="20" t="s">
        <v>131</v>
      </c>
      <c r="F25" s="20" t="s">
        <v>99</v>
      </c>
      <c r="G25" s="20" t="n">
        <v>9</v>
      </c>
      <c r="H25" s="20" t="n">
        <v>10</v>
      </c>
      <c r="I25" s="20" t="n">
        <v>-1</v>
      </c>
      <c r="J25" s="20" t="s">
        <v>48</v>
      </c>
      <c r="K25" s="20" t="n">
        <v>1.3</v>
      </c>
      <c r="L25" s="20" t="n">
        <v>6.2</v>
      </c>
      <c r="M25" s="20" t="n">
        <v>1.1</v>
      </c>
      <c r="N25" s="21" t="n">
        <v>326.85</v>
      </c>
      <c r="O25" s="20" t="n">
        <v>2</v>
      </c>
    </row>
    <row r="26" customFormat="false" ht="18" hidden="false" customHeight="true" outlineLevel="0" collapsed="false">
      <c r="A26" s="22" t="s">
        <v>132</v>
      </c>
      <c r="B26" s="22" t="s">
        <v>76</v>
      </c>
      <c r="C26" s="22" t="s">
        <v>102</v>
      </c>
      <c r="D26" s="22" t="s">
        <v>133</v>
      </c>
      <c r="E26" s="22" t="s">
        <v>134</v>
      </c>
      <c r="F26" s="22" t="s">
        <v>82</v>
      </c>
      <c r="G26" s="22" t="n">
        <v>24</v>
      </c>
      <c r="H26" s="22" t="n">
        <v>23</v>
      </c>
      <c r="I26" s="22" t="n">
        <v>1</v>
      </c>
      <c r="J26" s="22" t="s">
        <v>54</v>
      </c>
      <c r="K26" s="22" t="n">
        <v>5.2</v>
      </c>
      <c r="L26" s="22" t="n">
        <v>15.8</v>
      </c>
      <c r="M26" s="22" t="n">
        <v>2.8</v>
      </c>
      <c r="N26" s="23" t="n">
        <v>176.22</v>
      </c>
      <c r="O26" s="22" t="n">
        <v>3</v>
      </c>
    </row>
    <row r="27" customFormat="false" ht="18" hidden="false" customHeight="true" outlineLevel="0" collapsed="false">
      <c r="A27" s="22" t="s">
        <v>135</v>
      </c>
      <c r="B27" s="22" t="s">
        <v>44</v>
      </c>
      <c r="C27" s="22" t="s">
        <v>102</v>
      </c>
      <c r="D27" s="22" t="s">
        <v>136</v>
      </c>
      <c r="E27" s="22" t="s">
        <v>137</v>
      </c>
      <c r="F27" s="22" t="s">
        <v>138</v>
      </c>
      <c r="G27" s="22" t="n">
        <v>11</v>
      </c>
      <c r="H27" s="22" t="n">
        <v>10</v>
      </c>
      <c r="I27" s="22" t="n">
        <v>1</v>
      </c>
      <c r="J27" s="22" t="s">
        <v>54</v>
      </c>
      <c r="K27" s="22" t="n">
        <v>3.1</v>
      </c>
      <c r="L27" s="22" t="n">
        <v>5.5</v>
      </c>
      <c r="M27" s="22" t="n">
        <v>2</v>
      </c>
      <c r="N27" s="23" t="n">
        <v>296.72</v>
      </c>
      <c r="O27" s="22" t="n">
        <v>1</v>
      </c>
    </row>
    <row r="28" customFormat="false" ht="18" hidden="false" customHeight="true" outlineLevel="0" collapsed="false">
      <c r="A28" s="24" t="s">
        <v>139</v>
      </c>
      <c r="B28" s="24" t="s">
        <v>140</v>
      </c>
      <c r="C28" s="24" t="s">
        <v>45</v>
      </c>
      <c r="D28" s="24" t="s">
        <v>141</v>
      </c>
      <c r="E28" s="24" t="s">
        <v>142</v>
      </c>
      <c r="F28" s="24" t="s">
        <v>142</v>
      </c>
      <c r="G28" s="24" t="n">
        <v>17</v>
      </c>
      <c r="H28" s="24" t="n">
        <v>17</v>
      </c>
      <c r="I28" s="24" t="n">
        <v>0</v>
      </c>
      <c r="J28" s="24" t="s">
        <v>48</v>
      </c>
      <c r="K28" s="24" t="n">
        <v>4.4</v>
      </c>
      <c r="L28" s="24" t="n">
        <v>9.8</v>
      </c>
      <c r="M28" s="24" t="n">
        <v>2.7</v>
      </c>
      <c r="N28" s="25" t="n">
        <v>73.27</v>
      </c>
      <c r="O28" s="24" t="n">
        <v>2</v>
      </c>
    </row>
    <row r="29" customFormat="false" ht="18" hidden="false" customHeight="true" outlineLevel="0" collapsed="false">
      <c r="A29" s="20" t="s">
        <v>143</v>
      </c>
      <c r="B29" s="20" t="s">
        <v>101</v>
      </c>
      <c r="C29" s="20" t="s">
        <v>86</v>
      </c>
      <c r="D29" s="20" t="s">
        <v>144</v>
      </c>
      <c r="E29" s="20" t="s">
        <v>77</v>
      </c>
      <c r="F29" s="20" t="s">
        <v>145</v>
      </c>
      <c r="G29" s="20" t="n">
        <v>18</v>
      </c>
      <c r="H29" s="20" t="n">
        <v>20</v>
      </c>
      <c r="I29" s="20" t="n">
        <v>-2</v>
      </c>
      <c r="J29" s="20" t="s">
        <v>48</v>
      </c>
      <c r="K29" s="20" t="n">
        <v>4.1</v>
      </c>
      <c r="L29" s="20" t="n">
        <v>12.4</v>
      </c>
      <c r="M29" s="20" t="n">
        <v>1.7</v>
      </c>
      <c r="N29" s="21" t="n">
        <v>48.65</v>
      </c>
      <c r="O29" s="20" t="n">
        <v>5</v>
      </c>
    </row>
    <row r="30" customFormat="false" ht="18" hidden="false" customHeight="true" outlineLevel="0" collapsed="false">
      <c r="A30" s="24" t="s">
        <v>146</v>
      </c>
      <c r="B30" s="24" t="s">
        <v>147</v>
      </c>
      <c r="C30" s="24" t="s">
        <v>102</v>
      </c>
      <c r="D30" s="24" t="s">
        <v>148</v>
      </c>
      <c r="E30" s="24" t="s">
        <v>149</v>
      </c>
      <c r="F30" s="24" t="s">
        <v>150</v>
      </c>
      <c r="G30" s="24" t="n">
        <v>16</v>
      </c>
      <c r="H30" s="24" t="n">
        <v>18</v>
      </c>
      <c r="I30" s="24" t="n">
        <v>-2</v>
      </c>
      <c r="J30" s="24" t="s">
        <v>48</v>
      </c>
      <c r="K30" s="24" t="n">
        <v>4.4</v>
      </c>
      <c r="L30" s="24" t="n">
        <v>9.7</v>
      </c>
      <c r="M30" s="24" t="n">
        <v>1.6</v>
      </c>
      <c r="N30" s="25" t="n">
        <v>372.02</v>
      </c>
      <c r="O30" s="24" t="n">
        <v>2</v>
      </c>
    </row>
    <row r="31" customFormat="false" ht="18" hidden="false" customHeight="true" outlineLevel="0" collapsed="false">
      <c r="A31" s="20" t="s">
        <v>151</v>
      </c>
      <c r="B31" s="20" t="s">
        <v>71</v>
      </c>
      <c r="C31" s="20" t="s">
        <v>45</v>
      </c>
      <c r="D31" s="20" t="s">
        <v>127</v>
      </c>
      <c r="E31" s="20" t="s">
        <v>152</v>
      </c>
      <c r="F31" s="20" t="s">
        <v>152</v>
      </c>
      <c r="G31" s="20" t="n">
        <v>15</v>
      </c>
      <c r="H31" s="20" t="n">
        <v>15</v>
      </c>
      <c r="I31" s="20" t="n">
        <v>0</v>
      </c>
      <c r="J31" s="20" t="s">
        <v>48</v>
      </c>
      <c r="K31" s="20" t="n">
        <v>4.7</v>
      </c>
      <c r="L31" s="20" t="n">
        <v>8.2</v>
      </c>
      <c r="M31" s="20" t="n">
        <v>2</v>
      </c>
      <c r="N31" s="21" t="n">
        <v>348.57</v>
      </c>
      <c r="O31" s="20" t="n">
        <v>1</v>
      </c>
    </row>
    <row r="32" customFormat="false" ht="18" hidden="false" customHeight="true" outlineLevel="0" collapsed="false">
      <c r="A32" s="24" t="s">
        <v>153</v>
      </c>
      <c r="B32" s="24" t="s">
        <v>71</v>
      </c>
      <c r="C32" s="24" t="s">
        <v>45</v>
      </c>
      <c r="D32" s="24" t="s">
        <v>154</v>
      </c>
      <c r="E32" s="24" t="s">
        <v>155</v>
      </c>
      <c r="F32" s="24" t="s">
        <v>156</v>
      </c>
      <c r="G32" s="24" t="n">
        <v>20</v>
      </c>
      <c r="H32" s="24" t="n">
        <v>23</v>
      </c>
      <c r="I32" s="24" t="n">
        <v>-3</v>
      </c>
      <c r="J32" s="24" t="s">
        <v>48</v>
      </c>
      <c r="K32" s="24" t="n">
        <v>6.3</v>
      </c>
      <c r="L32" s="24" t="n">
        <v>11.9</v>
      </c>
      <c r="M32" s="24" t="n">
        <v>1.6</v>
      </c>
      <c r="N32" s="25" t="n">
        <v>120.78</v>
      </c>
      <c r="O32" s="24" t="n">
        <v>4</v>
      </c>
    </row>
    <row r="33" customFormat="false" ht="18" hidden="false" customHeight="true" outlineLevel="0" collapsed="false">
      <c r="A33" s="22" t="s">
        <v>157</v>
      </c>
      <c r="B33" s="22" t="s">
        <v>71</v>
      </c>
      <c r="C33" s="22" t="s">
        <v>86</v>
      </c>
      <c r="D33" s="22" t="s">
        <v>158</v>
      </c>
      <c r="E33" s="22" t="s">
        <v>159</v>
      </c>
      <c r="F33" s="22" t="s">
        <v>46</v>
      </c>
      <c r="G33" s="22" t="n">
        <v>15</v>
      </c>
      <c r="H33" s="22" t="n">
        <v>13</v>
      </c>
      <c r="I33" s="22" t="n">
        <v>2</v>
      </c>
      <c r="J33" s="22" t="s">
        <v>54</v>
      </c>
      <c r="K33" s="22" t="n">
        <v>5.8</v>
      </c>
      <c r="L33" s="22" t="n">
        <v>8.5</v>
      </c>
      <c r="M33" s="22" t="n">
        <v>0.9</v>
      </c>
      <c r="N33" s="23" t="n">
        <v>132.75</v>
      </c>
      <c r="O33" s="22" t="n">
        <v>1</v>
      </c>
    </row>
    <row r="34" customFormat="false" ht="18" hidden="false" customHeight="true" outlineLevel="0" collapsed="false">
      <c r="A34" s="24" t="s">
        <v>160</v>
      </c>
      <c r="B34" s="24" t="s">
        <v>62</v>
      </c>
      <c r="C34" s="24" t="s">
        <v>93</v>
      </c>
      <c r="D34" s="24" t="s">
        <v>161</v>
      </c>
      <c r="E34" s="24" t="s">
        <v>162</v>
      </c>
      <c r="F34" s="24" t="s">
        <v>162</v>
      </c>
      <c r="G34" s="24" t="n">
        <v>6</v>
      </c>
      <c r="H34" s="24" t="n">
        <v>6</v>
      </c>
      <c r="I34" s="24" t="n">
        <v>0</v>
      </c>
      <c r="J34" s="24" t="s">
        <v>48</v>
      </c>
      <c r="K34" s="24" t="n">
        <v>1.4</v>
      </c>
      <c r="L34" s="24" t="n">
        <v>4.1</v>
      </c>
      <c r="M34" s="24" t="n">
        <v>0.8</v>
      </c>
      <c r="N34" s="25" t="n">
        <v>41.72</v>
      </c>
      <c r="O34" s="24" t="n">
        <v>5</v>
      </c>
    </row>
    <row r="35" customFormat="false" ht="18" hidden="false" customHeight="true" outlineLevel="0" collapsed="false">
      <c r="A35" s="22" t="s">
        <v>163</v>
      </c>
      <c r="B35" s="22" t="s">
        <v>62</v>
      </c>
      <c r="C35" s="22" t="s">
        <v>72</v>
      </c>
      <c r="D35" s="22" t="s">
        <v>164</v>
      </c>
      <c r="E35" s="22" t="s">
        <v>69</v>
      </c>
      <c r="F35" s="22" t="s">
        <v>68</v>
      </c>
      <c r="G35" s="22" t="n">
        <v>9</v>
      </c>
      <c r="H35" s="22" t="n">
        <v>8</v>
      </c>
      <c r="I35" s="22" t="n">
        <v>1</v>
      </c>
      <c r="J35" s="22" t="s">
        <v>54</v>
      </c>
      <c r="K35" s="22" t="n">
        <v>2.5</v>
      </c>
      <c r="L35" s="22" t="n">
        <v>5.7</v>
      </c>
      <c r="M35" s="22" t="n">
        <v>1.2</v>
      </c>
      <c r="N35" s="23" t="n">
        <v>212.97</v>
      </c>
      <c r="O35" s="22" t="n">
        <v>1</v>
      </c>
    </row>
    <row r="36" customFormat="false" ht="18" hidden="false" customHeight="true" outlineLevel="0" collapsed="false">
      <c r="A36" s="24" t="s">
        <v>165</v>
      </c>
      <c r="B36" s="24" t="s">
        <v>56</v>
      </c>
      <c r="C36" s="24" t="s">
        <v>102</v>
      </c>
      <c r="D36" s="24" t="s">
        <v>166</v>
      </c>
      <c r="E36" s="24" t="s">
        <v>167</v>
      </c>
      <c r="F36" s="24" t="s">
        <v>168</v>
      </c>
      <c r="G36" s="24" t="n">
        <v>11</v>
      </c>
      <c r="H36" s="24" t="n">
        <v>12</v>
      </c>
      <c r="I36" s="24" t="n">
        <v>-1</v>
      </c>
      <c r="J36" s="24" t="s">
        <v>48</v>
      </c>
      <c r="K36" s="24" t="n">
        <v>3.2</v>
      </c>
      <c r="L36" s="24" t="n">
        <v>5.6</v>
      </c>
      <c r="M36" s="24" t="n">
        <v>2.3</v>
      </c>
      <c r="N36" s="25" t="n">
        <v>109.38</v>
      </c>
      <c r="O36" s="24" t="n">
        <v>1</v>
      </c>
    </row>
    <row r="37" customFormat="false" ht="18" hidden="false" customHeight="true" outlineLevel="0" collapsed="false">
      <c r="A37" s="20" t="s">
        <v>169</v>
      </c>
      <c r="B37" s="20" t="s">
        <v>140</v>
      </c>
      <c r="C37" s="20" t="s">
        <v>93</v>
      </c>
      <c r="D37" s="20" t="s">
        <v>170</v>
      </c>
      <c r="E37" s="20" t="s">
        <v>171</v>
      </c>
      <c r="F37" s="20" t="s">
        <v>171</v>
      </c>
      <c r="G37" s="20" t="n">
        <v>12</v>
      </c>
      <c r="H37" s="20" t="n">
        <v>12</v>
      </c>
      <c r="I37" s="20" t="n">
        <v>0</v>
      </c>
      <c r="J37" s="20" t="s">
        <v>48</v>
      </c>
      <c r="K37" s="20" t="n">
        <v>4.4</v>
      </c>
      <c r="L37" s="20" t="n">
        <v>5</v>
      </c>
      <c r="M37" s="20" t="n">
        <v>3</v>
      </c>
      <c r="N37" s="21" t="n">
        <v>179.31</v>
      </c>
      <c r="O37" s="20" t="n">
        <v>5</v>
      </c>
    </row>
    <row r="38" customFormat="false" ht="18" hidden="false" customHeight="true" outlineLevel="0" collapsed="false">
      <c r="A38" s="24" t="s">
        <v>172</v>
      </c>
      <c r="B38" s="24" t="s">
        <v>62</v>
      </c>
      <c r="C38" s="24" t="s">
        <v>93</v>
      </c>
      <c r="D38" s="24" t="s">
        <v>173</v>
      </c>
      <c r="E38" s="24" t="s">
        <v>174</v>
      </c>
      <c r="F38" s="24" t="s">
        <v>175</v>
      </c>
      <c r="G38" s="24" t="n">
        <v>10</v>
      </c>
      <c r="H38" s="24" t="n">
        <v>11</v>
      </c>
      <c r="I38" s="24" t="n">
        <v>-1</v>
      </c>
      <c r="J38" s="24" t="s">
        <v>48</v>
      </c>
      <c r="K38" s="24" t="n">
        <v>2.2</v>
      </c>
      <c r="L38" s="24" t="n">
        <v>5.8</v>
      </c>
      <c r="M38" s="24" t="n">
        <v>2.1</v>
      </c>
      <c r="N38" s="25" t="n">
        <v>97.62</v>
      </c>
      <c r="O38" s="24" t="n">
        <v>3</v>
      </c>
    </row>
    <row r="39" customFormat="false" ht="18" hidden="false" customHeight="true" outlineLevel="0" collapsed="false">
      <c r="A39" s="22" t="s">
        <v>176</v>
      </c>
      <c r="B39" s="22" t="s">
        <v>50</v>
      </c>
      <c r="C39" s="22" t="s">
        <v>45</v>
      </c>
      <c r="D39" s="22" t="s">
        <v>177</v>
      </c>
      <c r="E39" s="22" t="s">
        <v>178</v>
      </c>
      <c r="F39" s="22" t="s">
        <v>179</v>
      </c>
      <c r="G39" s="22" t="n">
        <v>12</v>
      </c>
      <c r="H39" s="22" t="n">
        <v>11</v>
      </c>
      <c r="I39" s="22" t="n">
        <v>1</v>
      </c>
      <c r="J39" s="22" t="s">
        <v>54</v>
      </c>
      <c r="K39" s="22" t="n">
        <v>2.6</v>
      </c>
      <c r="L39" s="22" t="n">
        <v>7.5</v>
      </c>
      <c r="M39" s="22" t="n">
        <v>1.4</v>
      </c>
      <c r="N39" s="23" t="n">
        <v>265.29</v>
      </c>
      <c r="O39" s="22" t="n">
        <v>2</v>
      </c>
    </row>
    <row r="40" customFormat="false" ht="18" hidden="false" customHeight="true" outlineLevel="0" collapsed="false">
      <c r="A40" s="24" t="s">
        <v>180</v>
      </c>
      <c r="B40" s="24" t="s">
        <v>76</v>
      </c>
      <c r="C40" s="24" t="s">
        <v>86</v>
      </c>
      <c r="D40" s="24" t="s">
        <v>181</v>
      </c>
      <c r="E40" s="24" t="s">
        <v>155</v>
      </c>
      <c r="F40" s="24" t="s">
        <v>155</v>
      </c>
      <c r="G40" s="24" t="n">
        <v>13</v>
      </c>
      <c r="H40" s="24" t="n">
        <v>13</v>
      </c>
      <c r="I40" s="24" t="n">
        <v>0</v>
      </c>
      <c r="J40" s="24" t="s">
        <v>48</v>
      </c>
      <c r="K40" s="24" t="n">
        <v>4.4</v>
      </c>
      <c r="L40" s="24" t="n">
        <v>6.5</v>
      </c>
      <c r="M40" s="24" t="n">
        <v>1.9</v>
      </c>
      <c r="N40" s="25" t="n">
        <v>399.41</v>
      </c>
      <c r="O40" s="24" t="n">
        <v>1</v>
      </c>
    </row>
    <row r="41" customFormat="false" ht="18" hidden="false" customHeight="true" outlineLevel="0" collapsed="false">
      <c r="A41" s="20" t="s">
        <v>182</v>
      </c>
      <c r="B41" s="20" t="s">
        <v>62</v>
      </c>
      <c r="C41" s="20" t="s">
        <v>102</v>
      </c>
      <c r="D41" s="20" t="s">
        <v>183</v>
      </c>
      <c r="E41" s="20" t="s">
        <v>184</v>
      </c>
      <c r="F41" s="20" t="s">
        <v>184</v>
      </c>
      <c r="G41" s="20" t="n">
        <v>10</v>
      </c>
      <c r="H41" s="20" t="n">
        <v>10</v>
      </c>
      <c r="I41" s="20" t="n">
        <v>0</v>
      </c>
      <c r="J41" s="20" t="s">
        <v>48</v>
      </c>
      <c r="K41" s="20" t="n">
        <v>1.9</v>
      </c>
      <c r="L41" s="20" t="n">
        <v>6.6</v>
      </c>
      <c r="M41" s="20" t="n">
        <v>1.1</v>
      </c>
      <c r="N41" s="21" t="n">
        <v>70.33</v>
      </c>
      <c r="O41" s="20" t="n">
        <v>3</v>
      </c>
    </row>
    <row r="42" customFormat="false" ht="18" hidden="false" customHeight="true" outlineLevel="0" collapsed="false">
      <c r="A42" s="22" t="s">
        <v>185</v>
      </c>
      <c r="B42" s="22" t="s">
        <v>140</v>
      </c>
      <c r="C42" s="22" t="s">
        <v>102</v>
      </c>
      <c r="D42" s="22" t="s">
        <v>186</v>
      </c>
      <c r="E42" s="22" t="s">
        <v>187</v>
      </c>
      <c r="F42" s="22" t="s">
        <v>188</v>
      </c>
      <c r="G42" s="22" t="n">
        <v>15</v>
      </c>
      <c r="H42" s="22" t="n">
        <v>14</v>
      </c>
      <c r="I42" s="22" t="n">
        <v>1</v>
      </c>
      <c r="J42" s="22" t="s">
        <v>54</v>
      </c>
      <c r="K42" s="22" t="n">
        <v>6</v>
      </c>
      <c r="L42" s="22" t="n">
        <v>8.3</v>
      </c>
      <c r="M42" s="22" t="n">
        <v>0.8</v>
      </c>
      <c r="N42" s="23" t="n">
        <v>186.51</v>
      </c>
      <c r="O42" s="22" t="n">
        <v>3</v>
      </c>
    </row>
    <row r="43" customFormat="false" ht="18" hidden="false" customHeight="true" outlineLevel="0" collapsed="false">
      <c r="A43" s="20" t="s">
        <v>189</v>
      </c>
      <c r="B43" s="20" t="s">
        <v>50</v>
      </c>
      <c r="C43" s="20" t="s">
        <v>57</v>
      </c>
      <c r="D43" s="20" t="s">
        <v>190</v>
      </c>
      <c r="E43" s="20" t="s">
        <v>191</v>
      </c>
      <c r="F43" s="20" t="s">
        <v>191</v>
      </c>
      <c r="G43" s="20" t="n">
        <v>9</v>
      </c>
      <c r="H43" s="20" t="n">
        <v>9</v>
      </c>
      <c r="I43" s="20" t="n">
        <v>0</v>
      </c>
      <c r="J43" s="20" t="s">
        <v>48</v>
      </c>
      <c r="K43" s="20" t="n">
        <v>0.5</v>
      </c>
      <c r="L43" s="20" t="n">
        <v>6</v>
      </c>
      <c r="M43" s="20" t="n">
        <v>2.1</v>
      </c>
      <c r="N43" s="21" t="n">
        <v>230.75</v>
      </c>
      <c r="O43" s="20" t="n">
        <v>1</v>
      </c>
    </row>
    <row r="44" customFormat="false" ht="18" hidden="false" customHeight="true" outlineLevel="0" collapsed="false">
      <c r="A44" s="24" t="s">
        <v>192</v>
      </c>
      <c r="B44" s="24" t="s">
        <v>50</v>
      </c>
      <c r="C44" s="24" t="s">
        <v>45</v>
      </c>
      <c r="D44" s="24" t="s">
        <v>193</v>
      </c>
      <c r="E44" s="24" t="s">
        <v>194</v>
      </c>
      <c r="F44" s="24" t="s">
        <v>195</v>
      </c>
      <c r="G44" s="24" t="n">
        <v>18</v>
      </c>
      <c r="H44" s="24" t="n">
        <v>20</v>
      </c>
      <c r="I44" s="24" t="n">
        <v>-2</v>
      </c>
      <c r="J44" s="24" t="s">
        <v>48</v>
      </c>
      <c r="K44" s="24" t="n">
        <v>6.3</v>
      </c>
      <c r="L44" s="24" t="n">
        <v>9.9</v>
      </c>
      <c r="M44" s="24" t="n">
        <v>1.9</v>
      </c>
      <c r="N44" s="25" t="n">
        <v>302.12</v>
      </c>
      <c r="O44" s="24" t="n">
        <v>2</v>
      </c>
    </row>
    <row r="45" customFormat="false" ht="18" hidden="false" customHeight="true" outlineLevel="0" collapsed="false">
      <c r="A45" s="20" t="s">
        <v>196</v>
      </c>
      <c r="B45" s="20" t="s">
        <v>50</v>
      </c>
      <c r="C45" s="20" t="s">
        <v>86</v>
      </c>
      <c r="D45" s="20" t="s">
        <v>197</v>
      </c>
      <c r="E45" s="20" t="s">
        <v>198</v>
      </c>
      <c r="F45" s="20" t="s">
        <v>199</v>
      </c>
      <c r="G45" s="20" t="n">
        <v>17</v>
      </c>
      <c r="H45" s="20" t="n">
        <v>18</v>
      </c>
      <c r="I45" s="20" t="n">
        <v>-1</v>
      </c>
      <c r="J45" s="20" t="s">
        <v>48</v>
      </c>
      <c r="K45" s="20" t="n">
        <v>3.5</v>
      </c>
      <c r="L45" s="20" t="n">
        <v>11.4</v>
      </c>
      <c r="M45" s="20" t="n">
        <v>2.1</v>
      </c>
      <c r="N45" s="21" t="n">
        <v>97.37</v>
      </c>
      <c r="O45" s="20" t="n">
        <v>3</v>
      </c>
    </row>
    <row r="46" customFormat="false" ht="18" hidden="false" customHeight="true" outlineLevel="0" collapsed="false">
      <c r="A46" s="24" t="s">
        <v>200</v>
      </c>
      <c r="B46" s="24" t="s">
        <v>101</v>
      </c>
      <c r="C46" s="24" t="s">
        <v>93</v>
      </c>
      <c r="D46" s="24" t="s">
        <v>131</v>
      </c>
      <c r="E46" s="24" t="s">
        <v>201</v>
      </c>
      <c r="F46" s="24" t="s">
        <v>202</v>
      </c>
      <c r="G46" s="24" t="n">
        <v>7</v>
      </c>
      <c r="H46" s="24" t="n">
        <v>8</v>
      </c>
      <c r="I46" s="24" t="n">
        <v>-1</v>
      </c>
      <c r="J46" s="24" t="s">
        <v>48</v>
      </c>
      <c r="K46" s="24" t="n">
        <v>2.8</v>
      </c>
      <c r="L46" s="24" t="n">
        <v>3.9</v>
      </c>
      <c r="M46" s="24" t="n">
        <v>0.6</v>
      </c>
      <c r="N46" s="25" t="n">
        <v>341.52</v>
      </c>
      <c r="O46" s="24" t="n">
        <v>1</v>
      </c>
    </row>
    <row r="47" customFormat="false" ht="18" hidden="false" customHeight="true" outlineLevel="0" collapsed="false">
      <c r="A47" s="22" t="s">
        <v>203</v>
      </c>
      <c r="B47" s="22" t="s">
        <v>71</v>
      </c>
      <c r="C47" s="22" t="s">
        <v>57</v>
      </c>
      <c r="D47" s="22" t="s">
        <v>78</v>
      </c>
      <c r="E47" s="22" t="s">
        <v>204</v>
      </c>
      <c r="F47" s="22" t="s">
        <v>205</v>
      </c>
      <c r="G47" s="22" t="n">
        <v>9</v>
      </c>
      <c r="H47" s="22" t="n">
        <v>8</v>
      </c>
      <c r="I47" s="22" t="n">
        <v>1</v>
      </c>
      <c r="J47" s="22" t="s">
        <v>54</v>
      </c>
      <c r="K47" s="22" t="n">
        <v>3.5</v>
      </c>
      <c r="L47" s="22" t="n">
        <v>2.4</v>
      </c>
      <c r="M47" s="22" t="n">
        <v>2.7</v>
      </c>
      <c r="N47" s="23" t="n">
        <v>146.75</v>
      </c>
      <c r="O47" s="22" t="n">
        <v>1</v>
      </c>
    </row>
    <row r="48" customFormat="false" ht="18" hidden="false" customHeight="true" outlineLevel="0" collapsed="false">
      <c r="A48" s="24" t="s">
        <v>206</v>
      </c>
      <c r="B48" s="24" t="s">
        <v>50</v>
      </c>
      <c r="C48" s="24" t="s">
        <v>57</v>
      </c>
      <c r="D48" s="24" t="s">
        <v>207</v>
      </c>
      <c r="E48" s="24" t="s">
        <v>208</v>
      </c>
      <c r="F48" s="24" t="s">
        <v>209</v>
      </c>
      <c r="G48" s="24" t="n">
        <v>8</v>
      </c>
      <c r="H48" s="24" t="n">
        <v>9</v>
      </c>
      <c r="I48" s="24" t="n">
        <v>-1</v>
      </c>
      <c r="J48" s="24" t="s">
        <v>48</v>
      </c>
      <c r="K48" s="24" t="n">
        <v>0.6</v>
      </c>
      <c r="L48" s="24" t="n">
        <v>7.4</v>
      </c>
      <c r="M48" s="24" t="n">
        <v>0.5</v>
      </c>
      <c r="N48" s="25" t="n">
        <v>229.64</v>
      </c>
      <c r="O48" s="24" t="n">
        <v>4</v>
      </c>
    </row>
    <row r="49" customFormat="false" ht="18" hidden="false" customHeight="true" outlineLevel="0" collapsed="false">
      <c r="A49" s="22" t="s">
        <v>210</v>
      </c>
      <c r="B49" s="22" t="s">
        <v>147</v>
      </c>
      <c r="C49" s="22" t="s">
        <v>93</v>
      </c>
      <c r="D49" s="22" t="s">
        <v>211</v>
      </c>
      <c r="E49" s="22" t="s">
        <v>212</v>
      </c>
      <c r="F49" s="22" t="s">
        <v>213</v>
      </c>
      <c r="G49" s="22" t="n">
        <v>14</v>
      </c>
      <c r="H49" s="22" t="n">
        <v>12</v>
      </c>
      <c r="I49" s="22" t="n">
        <v>2</v>
      </c>
      <c r="J49" s="22" t="s">
        <v>54</v>
      </c>
      <c r="K49" s="22" t="n">
        <v>2.9</v>
      </c>
      <c r="L49" s="22" t="n">
        <v>8.3</v>
      </c>
      <c r="M49" s="22" t="n">
        <v>2.3</v>
      </c>
      <c r="N49" s="23" t="n">
        <v>355.58</v>
      </c>
      <c r="O49" s="22" t="n">
        <v>1</v>
      </c>
    </row>
    <row r="50" customFormat="false" ht="18" hidden="false" customHeight="true" outlineLevel="0" collapsed="false">
      <c r="A50" s="24" t="s">
        <v>214</v>
      </c>
      <c r="B50" s="24" t="s">
        <v>147</v>
      </c>
      <c r="C50" s="24" t="s">
        <v>93</v>
      </c>
      <c r="D50" s="24" t="s">
        <v>186</v>
      </c>
      <c r="E50" s="24" t="s">
        <v>215</v>
      </c>
      <c r="F50" s="24" t="s">
        <v>215</v>
      </c>
      <c r="G50" s="24" t="n">
        <v>16</v>
      </c>
      <c r="H50" s="24" t="n">
        <v>16</v>
      </c>
      <c r="I50" s="24" t="n">
        <v>0</v>
      </c>
      <c r="J50" s="24" t="s">
        <v>48</v>
      </c>
      <c r="K50" s="24" t="n">
        <v>4.7</v>
      </c>
      <c r="L50" s="24" t="n">
        <v>9.7</v>
      </c>
      <c r="M50" s="24" t="n">
        <v>1.2</v>
      </c>
      <c r="N50" s="25" t="n">
        <v>76.28</v>
      </c>
      <c r="O50" s="24" t="n">
        <v>2</v>
      </c>
    </row>
    <row r="51" customFormat="false" ht="18" hidden="false" customHeight="true" outlineLevel="0" collapsed="false">
      <c r="A51" s="20" t="s">
        <v>216</v>
      </c>
      <c r="B51" s="20" t="s">
        <v>50</v>
      </c>
      <c r="C51" s="20" t="s">
        <v>102</v>
      </c>
      <c r="D51" s="20" t="s">
        <v>217</v>
      </c>
      <c r="E51" s="20" t="s">
        <v>218</v>
      </c>
      <c r="F51" s="20" t="s">
        <v>219</v>
      </c>
      <c r="G51" s="20" t="n">
        <v>13</v>
      </c>
      <c r="H51" s="20" t="n">
        <v>15</v>
      </c>
      <c r="I51" s="20" t="n">
        <v>-2</v>
      </c>
      <c r="J51" s="20" t="s">
        <v>48</v>
      </c>
      <c r="K51" s="20" t="n">
        <v>2.7</v>
      </c>
      <c r="L51" s="20" t="n">
        <v>9.5</v>
      </c>
      <c r="M51" s="20" t="n">
        <v>0.5</v>
      </c>
      <c r="N51" s="21" t="n">
        <v>322.53</v>
      </c>
      <c r="O51" s="20" t="n">
        <v>1</v>
      </c>
    </row>
    <row r="52" customFormat="false" ht="18" hidden="false" customHeight="true" outlineLevel="0" collapsed="false">
      <c r="A52" s="24" t="s">
        <v>220</v>
      </c>
      <c r="B52" s="24" t="s">
        <v>140</v>
      </c>
      <c r="C52" s="24" t="s">
        <v>86</v>
      </c>
      <c r="D52" s="24" t="s">
        <v>144</v>
      </c>
      <c r="E52" s="24" t="s">
        <v>221</v>
      </c>
      <c r="F52" s="24" t="s">
        <v>222</v>
      </c>
      <c r="G52" s="24" t="n">
        <v>14</v>
      </c>
      <c r="H52" s="24" t="n">
        <v>15</v>
      </c>
      <c r="I52" s="24" t="n">
        <v>-1</v>
      </c>
      <c r="J52" s="24" t="s">
        <v>48</v>
      </c>
      <c r="K52" s="24" t="n">
        <v>5</v>
      </c>
      <c r="L52" s="24" t="n">
        <v>7.6</v>
      </c>
      <c r="M52" s="24" t="n">
        <v>1</v>
      </c>
      <c r="N52" s="25" t="n">
        <v>154.4</v>
      </c>
      <c r="O52" s="24" t="n">
        <v>5</v>
      </c>
    </row>
    <row r="53" customFormat="false" ht="18" hidden="false" customHeight="true" outlineLevel="0" collapsed="false">
      <c r="A53" s="20" t="s">
        <v>223</v>
      </c>
      <c r="B53" s="20" t="s">
        <v>71</v>
      </c>
      <c r="C53" s="20" t="s">
        <v>44</v>
      </c>
      <c r="D53" s="20" t="s">
        <v>52</v>
      </c>
      <c r="E53" s="20" t="s">
        <v>224</v>
      </c>
      <c r="F53" s="20" t="s">
        <v>225</v>
      </c>
      <c r="G53" s="20" t="n">
        <v>8</v>
      </c>
      <c r="H53" s="20" t="n">
        <v>9</v>
      </c>
      <c r="I53" s="20" t="n">
        <v>-1</v>
      </c>
      <c r="J53" s="20" t="s">
        <v>48</v>
      </c>
      <c r="K53" s="20" t="n">
        <v>1.2</v>
      </c>
      <c r="L53" s="20" t="n">
        <v>5.4</v>
      </c>
      <c r="M53" s="20" t="n">
        <v>1.5</v>
      </c>
      <c r="N53" s="21" t="n">
        <v>109.96</v>
      </c>
      <c r="O53" s="20" t="n">
        <v>2</v>
      </c>
    </row>
    <row r="54" customFormat="false" ht="18" hidden="false" customHeight="true" outlineLevel="0" collapsed="false">
      <c r="A54" s="22" t="s">
        <v>226</v>
      </c>
      <c r="B54" s="22" t="s">
        <v>81</v>
      </c>
      <c r="C54" s="22" t="s">
        <v>44</v>
      </c>
      <c r="D54" s="22" t="s">
        <v>227</v>
      </c>
      <c r="E54" s="22" t="s">
        <v>228</v>
      </c>
      <c r="F54" s="22" t="s">
        <v>229</v>
      </c>
      <c r="G54" s="22" t="n">
        <v>14</v>
      </c>
      <c r="H54" s="22" t="n">
        <v>12</v>
      </c>
      <c r="I54" s="22" t="n">
        <v>2</v>
      </c>
      <c r="J54" s="22" t="s">
        <v>54</v>
      </c>
      <c r="K54" s="22" t="n">
        <v>2.8</v>
      </c>
      <c r="L54" s="22" t="n">
        <v>9.1</v>
      </c>
      <c r="M54" s="22" t="n">
        <v>1.7</v>
      </c>
      <c r="N54" s="23" t="n">
        <v>299.89</v>
      </c>
      <c r="O54" s="22" t="n">
        <v>2</v>
      </c>
    </row>
    <row r="55" customFormat="false" ht="18" hidden="false" customHeight="true" outlineLevel="0" collapsed="false">
      <c r="A55" s="22" t="s">
        <v>230</v>
      </c>
      <c r="B55" s="22" t="s">
        <v>71</v>
      </c>
      <c r="C55" s="22" t="s">
        <v>44</v>
      </c>
      <c r="D55" s="22" t="s">
        <v>231</v>
      </c>
      <c r="E55" s="22" t="s">
        <v>232</v>
      </c>
      <c r="F55" s="22" t="s">
        <v>202</v>
      </c>
      <c r="G55" s="22" t="n">
        <v>12</v>
      </c>
      <c r="H55" s="22" t="n">
        <v>11</v>
      </c>
      <c r="I55" s="22" t="n">
        <v>1</v>
      </c>
      <c r="J55" s="22" t="s">
        <v>54</v>
      </c>
      <c r="K55" s="22" t="n">
        <v>2.7</v>
      </c>
      <c r="L55" s="22" t="n">
        <v>6.6</v>
      </c>
      <c r="M55" s="22" t="n">
        <v>3</v>
      </c>
      <c r="N55" s="23" t="n">
        <v>319.2</v>
      </c>
      <c r="O55" s="22" t="n">
        <v>1</v>
      </c>
    </row>
    <row r="56" customFormat="false" ht="18" hidden="false" customHeight="true" outlineLevel="0" collapsed="false">
      <c r="A56" s="22" t="s">
        <v>233</v>
      </c>
      <c r="B56" s="22" t="s">
        <v>147</v>
      </c>
      <c r="C56" s="22" t="s">
        <v>72</v>
      </c>
      <c r="D56" s="22" t="s">
        <v>234</v>
      </c>
      <c r="E56" s="22" t="s">
        <v>235</v>
      </c>
      <c r="F56" s="22" t="s">
        <v>158</v>
      </c>
      <c r="G56" s="22" t="n">
        <v>18</v>
      </c>
      <c r="H56" s="22" t="n">
        <v>17</v>
      </c>
      <c r="I56" s="22" t="n">
        <v>1</v>
      </c>
      <c r="J56" s="22" t="s">
        <v>54</v>
      </c>
      <c r="K56" s="22" t="n">
        <v>6.7</v>
      </c>
      <c r="L56" s="22" t="n">
        <v>9.6</v>
      </c>
      <c r="M56" s="22" t="n">
        <v>1.7</v>
      </c>
      <c r="N56" s="23" t="n">
        <v>330.3</v>
      </c>
      <c r="O56" s="22" t="n">
        <v>2</v>
      </c>
    </row>
    <row r="57" customFormat="false" ht="18" hidden="false" customHeight="true" outlineLevel="0" collapsed="false">
      <c r="A57" s="22" t="s">
        <v>236</v>
      </c>
      <c r="B57" s="22" t="s">
        <v>50</v>
      </c>
      <c r="C57" s="22" t="s">
        <v>86</v>
      </c>
      <c r="D57" s="22" t="s">
        <v>199</v>
      </c>
      <c r="E57" s="22" t="s">
        <v>237</v>
      </c>
      <c r="F57" s="22" t="s">
        <v>130</v>
      </c>
      <c r="G57" s="22" t="n">
        <v>16</v>
      </c>
      <c r="H57" s="22" t="n">
        <v>15</v>
      </c>
      <c r="I57" s="22" t="n">
        <v>1</v>
      </c>
      <c r="J57" s="22" t="s">
        <v>54</v>
      </c>
      <c r="K57" s="22" t="n">
        <v>4.3</v>
      </c>
      <c r="L57" s="22" t="n">
        <v>10.5</v>
      </c>
      <c r="M57" s="22" t="n">
        <v>1.6</v>
      </c>
      <c r="N57" s="23" t="n">
        <v>270.81</v>
      </c>
      <c r="O57" s="22" t="n">
        <v>2</v>
      </c>
    </row>
    <row r="58" customFormat="false" ht="18" hidden="false" customHeight="true" outlineLevel="0" collapsed="false">
      <c r="A58" s="24" t="s">
        <v>238</v>
      </c>
      <c r="B58" s="24" t="s">
        <v>50</v>
      </c>
      <c r="C58" s="24" t="s">
        <v>86</v>
      </c>
      <c r="D58" s="24" t="s">
        <v>239</v>
      </c>
      <c r="E58" s="24" t="s">
        <v>240</v>
      </c>
      <c r="F58" s="24" t="s">
        <v>241</v>
      </c>
      <c r="G58" s="24" t="n">
        <v>19</v>
      </c>
      <c r="H58" s="24" t="n">
        <v>22</v>
      </c>
      <c r="I58" s="24" t="n">
        <v>-3</v>
      </c>
      <c r="J58" s="24" t="s">
        <v>48</v>
      </c>
      <c r="K58" s="24" t="n">
        <v>5.7</v>
      </c>
      <c r="L58" s="24" t="n">
        <v>10.2</v>
      </c>
      <c r="M58" s="24" t="n">
        <v>3.2</v>
      </c>
      <c r="N58" s="25" t="n">
        <v>126.07</v>
      </c>
      <c r="O58" s="24" t="n">
        <v>5</v>
      </c>
    </row>
    <row r="59" customFormat="false" ht="18" hidden="false" customHeight="true" outlineLevel="0" collapsed="false">
      <c r="A59" s="20" t="s">
        <v>242</v>
      </c>
      <c r="B59" s="20" t="s">
        <v>44</v>
      </c>
      <c r="C59" s="20" t="s">
        <v>72</v>
      </c>
      <c r="D59" s="20" t="s">
        <v>243</v>
      </c>
      <c r="E59" s="20" t="s">
        <v>244</v>
      </c>
      <c r="F59" s="20" t="s">
        <v>245</v>
      </c>
      <c r="G59" s="20" t="n">
        <v>11</v>
      </c>
      <c r="H59" s="20" t="n">
        <v>12</v>
      </c>
      <c r="I59" s="20" t="n">
        <v>-1</v>
      </c>
      <c r="J59" s="20" t="s">
        <v>48</v>
      </c>
      <c r="K59" s="20" t="n">
        <v>3.9</v>
      </c>
      <c r="L59" s="20" t="n">
        <v>5.8</v>
      </c>
      <c r="M59" s="20" t="n">
        <v>1</v>
      </c>
      <c r="N59" s="21" t="n">
        <v>63.83</v>
      </c>
      <c r="O59" s="20" t="n">
        <v>3</v>
      </c>
    </row>
    <row r="60" customFormat="false" ht="18" hidden="false" customHeight="true" outlineLevel="0" collapsed="false">
      <c r="A60" s="22" t="s">
        <v>246</v>
      </c>
      <c r="B60" s="22" t="s">
        <v>56</v>
      </c>
      <c r="C60" s="22" t="s">
        <v>45</v>
      </c>
      <c r="D60" s="22" t="s">
        <v>247</v>
      </c>
      <c r="E60" s="22" t="s">
        <v>248</v>
      </c>
      <c r="F60" s="22" t="s">
        <v>249</v>
      </c>
      <c r="G60" s="22" t="n">
        <v>16</v>
      </c>
      <c r="H60" s="22" t="n">
        <v>14</v>
      </c>
      <c r="I60" s="22" t="n">
        <v>2</v>
      </c>
      <c r="J60" s="22" t="s">
        <v>54</v>
      </c>
      <c r="K60" s="22" t="n">
        <v>3.3</v>
      </c>
      <c r="L60" s="22" t="n">
        <v>11.2</v>
      </c>
      <c r="M60" s="22" t="n">
        <v>1.1</v>
      </c>
      <c r="N60" s="23" t="n">
        <v>246.7</v>
      </c>
      <c r="O60" s="22" t="n">
        <v>2</v>
      </c>
    </row>
    <row r="61" customFormat="false" ht="18" hidden="false" customHeight="true" outlineLevel="0" collapsed="false">
      <c r="A61" s="20" t="s">
        <v>250</v>
      </c>
      <c r="B61" s="20" t="s">
        <v>251</v>
      </c>
      <c r="C61" s="20" t="s">
        <v>57</v>
      </c>
      <c r="D61" s="20" t="s">
        <v>59</v>
      </c>
      <c r="E61" s="20" t="s">
        <v>252</v>
      </c>
      <c r="F61" s="20" t="s">
        <v>252</v>
      </c>
      <c r="G61" s="20" t="n">
        <v>15</v>
      </c>
      <c r="H61" s="20" t="n">
        <v>15</v>
      </c>
      <c r="I61" s="20" t="n">
        <v>0</v>
      </c>
      <c r="J61" s="20" t="s">
        <v>48</v>
      </c>
      <c r="K61" s="20" t="n">
        <v>3.2</v>
      </c>
      <c r="L61" s="20" t="n">
        <v>9.3</v>
      </c>
      <c r="M61" s="20" t="n">
        <v>2.2</v>
      </c>
      <c r="N61" s="21" t="n">
        <v>214.34</v>
      </c>
      <c r="O61" s="20" t="n">
        <v>4</v>
      </c>
    </row>
    <row r="62" customFormat="false" ht="18" hidden="false" customHeight="true" outlineLevel="0" collapsed="false">
      <c r="A62" s="22" t="s">
        <v>253</v>
      </c>
      <c r="B62" s="22" t="s">
        <v>140</v>
      </c>
      <c r="C62" s="22" t="s">
        <v>93</v>
      </c>
      <c r="D62" s="22" t="s">
        <v>98</v>
      </c>
      <c r="E62" s="22" t="s">
        <v>222</v>
      </c>
      <c r="F62" s="22" t="s">
        <v>221</v>
      </c>
      <c r="G62" s="22" t="n">
        <v>10</v>
      </c>
      <c r="H62" s="22" t="n">
        <v>9</v>
      </c>
      <c r="I62" s="22" t="n">
        <v>1</v>
      </c>
      <c r="J62" s="22" t="s">
        <v>54</v>
      </c>
      <c r="K62" s="22" t="n">
        <v>2.6</v>
      </c>
      <c r="L62" s="22" t="n">
        <v>6</v>
      </c>
      <c r="M62" s="22" t="n">
        <v>1.2</v>
      </c>
      <c r="N62" s="23" t="n">
        <v>185.7</v>
      </c>
      <c r="O62" s="22" t="n">
        <v>3</v>
      </c>
    </row>
    <row r="63" customFormat="false" ht="18" hidden="false" customHeight="true" outlineLevel="0" collapsed="false">
      <c r="A63" s="20" t="s">
        <v>254</v>
      </c>
      <c r="B63" s="20" t="s">
        <v>62</v>
      </c>
      <c r="C63" s="20" t="s">
        <v>44</v>
      </c>
      <c r="D63" s="20" t="s">
        <v>255</v>
      </c>
      <c r="E63" s="20" t="s">
        <v>256</v>
      </c>
      <c r="F63" s="20" t="s">
        <v>256</v>
      </c>
      <c r="G63" s="20" t="n">
        <v>8</v>
      </c>
      <c r="H63" s="20" t="n">
        <v>8</v>
      </c>
      <c r="I63" s="20" t="n">
        <v>0</v>
      </c>
      <c r="J63" s="20" t="s">
        <v>48</v>
      </c>
      <c r="K63" s="20" t="n">
        <v>0.6</v>
      </c>
      <c r="L63" s="20" t="n">
        <v>6.3</v>
      </c>
      <c r="M63" s="20" t="n">
        <v>1.1</v>
      </c>
      <c r="N63" s="21" t="n">
        <v>46.59</v>
      </c>
      <c r="O63" s="20" t="n">
        <v>3</v>
      </c>
    </row>
    <row r="64" customFormat="false" ht="18" hidden="false" customHeight="true" outlineLevel="0" collapsed="false">
      <c r="A64" s="24" t="s">
        <v>257</v>
      </c>
      <c r="B64" s="24" t="s">
        <v>251</v>
      </c>
      <c r="C64" s="24" t="s">
        <v>93</v>
      </c>
      <c r="D64" s="24" t="s">
        <v>258</v>
      </c>
      <c r="E64" s="24" t="s">
        <v>259</v>
      </c>
      <c r="F64" s="24" t="s">
        <v>195</v>
      </c>
      <c r="G64" s="24" t="n">
        <v>10</v>
      </c>
      <c r="H64" s="24" t="n">
        <v>11</v>
      </c>
      <c r="I64" s="24" t="n">
        <v>-1</v>
      </c>
      <c r="J64" s="24" t="s">
        <v>48</v>
      </c>
      <c r="K64" s="24" t="n">
        <v>2.8</v>
      </c>
      <c r="L64" s="24" t="n">
        <v>6.6</v>
      </c>
      <c r="M64" s="24" t="n">
        <v>0.5</v>
      </c>
      <c r="N64" s="25" t="n">
        <v>134.12</v>
      </c>
      <c r="O64" s="24" t="n">
        <v>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8"/>
  </cols>
  <sheetData>
    <row r="1" customFormat="false" ht="31.5" hidden="false" customHeight="true" outlineLevel="0" collapsed="false">
      <c r="A1" s="6" t="s">
        <v>260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262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6" t="s">
        <v>263</v>
      </c>
      <c r="B5" s="26" t="s">
        <v>264</v>
      </c>
      <c r="C5" s="26" t="s">
        <v>265</v>
      </c>
      <c r="D5" s="26" t="s">
        <v>266</v>
      </c>
      <c r="E5" s="26" t="s">
        <v>267</v>
      </c>
      <c r="F5" s="26" t="s">
        <v>268</v>
      </c>
      <c r="G5" s="26" t="s">
        <v>269</v>
      </c>
      <c r="H5" s="26" t="s">
        <v>270</v>
      </c>
      <c r="I5" s="26" t="s">
        <v>271</v>
      </c>
    </row>
    <row r="6" customFormat="false" ht="21.75" hidden="false" customHeight="true" outlineLevel="0" collapsed="false">
      <c r="A6" s="27" t="n">
        <v>1</v>
      </c>
      <c r="B6" s="28" t="s">
        <v>272</v>
      </c>
      <c r="C6" s="27" t="n">
        <v>2840</v>
      </c>
      <c r="D6" s="27" t="n">
        <v>612</v>
      </c>
      <c r="E6" s="29" t="n">
        <v>21.5</v>
      </c>
      <c r="F6" s="27" t="n">
        <v>7</v>
      </c>
      <c r="G6" s="29" t="n">
        <v>0.159</v>
      </c>
      <c r="H6" s="30" t="s">
        <v>273</v>
      </c>
      <c r="I6" s="31" t="s">
        <v>274</v>
      </c>
    </row>
    <row r="7" customFormat="false" ht="21.75" hidden="false" customHeight="true" outlineLevel="0" collapsed="false">
      <c r="A7" s="32" t="n">
        <v>2</v>
      </c>
      <c r="B7" s="33" t="s">
        <v>275</v>
      </c>
      <c r="C7" s="32" t="n">
        <v>2210</v>
      </c>
      <c r="D7" s="32" t="n">
        <v>487</v>
      </c>
      <c r="E7" s="34" t="n">
        <v>22</v>
      </c>
      <c r="F7" s="32" t="n">
        <v>5</v>
      </c>
      <c r="G7" s="34" t="n">
        <v>0.285</v>
      </c>
      <c r="H7" s="30" t="s">
        <v>273</v>
      </c>
      <c r="I7" s="31" t="s">
        <v>274</v>
      </c>
    </row>
    <row r="8" customFormat="false" ht="21.75" hidden="false" customHeight="true" outlineLevel="0" collapsed="false">
      <c r="A8" s="27" t="n">
        <v>3</v>
      </c>
      <c r="B8" s="28" t="s">
        <v>276</v>
      </c>
      <c r="C8" s="27" t="n">
        <v>1890</v>
      </c>
      <c r="D8" s="27" t="n">
        <v>398</v>
      </c>
      <c r="E8" s="29" t="n">
        <v>21.1</v>
      </c>
      <c r="F8" s="27" t="n">
        <v>7.2</v>
      </c>
      <c r="G8" s="29" t="n">
        <v>0.389</v>
      </c>
      <c r="H8" s="30" t="s">
        <v>273</v>
      </c>
      <c r="I8" s="31" t="s">
        <v>274</v>
      </c>
    </row>
    <row r="9" customFormat="false" ht="21.75" hidden="false" customHeight="true" outlineLevel="0" collapsed="false">
      <c r="A9" s="32" t="n">
        <v>4</v>
      </c>
      <c r="B9" s="33" t="s">
        <v>277</v>
      </c>
      <c r="C9" s="32" t="n">
        <v>1650</v>
      </c>
      <c r="D9" s="32" t="n">
        <v>341</v>
      </c>
      <c r="E9" s="34" t="n">
        <v>20.7</v>
      </c>
      <c r="F9" s="32" t="n">
        <v>6.3</v>
      </c>
      <c r="G9" s="34" t="n">
        <v>0.477</v>
      </c>
      <c r="H9" s="30" t="s">
        <v>273</v>
      </c>
      <c r="I9" s="31" t="s">
        <v>274</v>
      </c>
    </row>
    <row r="10" customFormat="false" ht="21.75" hidden="false" customHeight="true" outlineLevel="0" collapsed="false">
      <c r="A10" s="27" t="n">
        <v>5</v>
      </c>
      <c r="B10" s="28" t="s">
        <v>278</v>
      </c>
      <c r="C10" s="27" t="n">
        <v>3120</v>
      </c>
      <c r="D10" s="27" t="n">
        <v>512</v>
      </c>
      <c r="E10" s="29" t="n">
        <v>16.4</v>
      </c>
      <c r="F10" s="27" t="n">
        <v>4.2</v>
      </c>
      <c r="G10" s="29" t="n">
        <v>0.61</v>
      </c>
      <c r="H10" s="35" t="s">
        <v>279</v>
      </c>
      <c r="I10" s="36" t="s">
        <v>280</v>
      </c>
    </row>
    <row r="11" customFormat="false" ht="21.75" hidden="false" customHeight="true" outlineLevel="0" collapsed="false">
      <c r="A11" s="32" t="n">
        <v>6</v>
      </c>
      <c r="B11" s="33" t="s">
        <v>281</v>
      </c>
      <c r="C11" s="32" t="n">
        <v>980</v>
      </c>
      <c r="D11" s="32" t="n">
        <v>201</v>
      </c>
      <c r="E11" s="34" t="n">
        <v>20.5</v>
      </c>
      <c r="F11" s="32" t="n">
        <v>7</v>
      </c>
      <c r="G11" s="34" t="n">
        <v>0.662</v>
      </c>
      <c r="H11" s="30" t="s">
        <v>273</v>
      </c>
      <c r="I11" s="31" t="s">
        <v>274</v>
      </c>
    </row>
    <row r="12" customFormat="false" ht="21.75" hidden="false" customHeight="true" outlineLevel="0" collapsed="false">
      <c r="A12" s="27" t="n">
        <v>7</v>
      </c>
      <c r="B12" s="28" t="s">
        <v>282</v>
      </c>
      <c r="C12" s="27" t="n">
        <v>1120</v>
      </c>
      <c r="D12" s="27" t="n">
        <v>224</v>
      </c>
      <c r="E12" s="29" t="n">
        <v>20</v>
      </c>
      <c r="F12" s="27" t="n">
        <v>5.3</v>
      </c>
      <c r="G12" s="29" t="n">
        <v>0.72</v>
      </c>
      <c r="H12" s="35" t="s">
        <v>279</v>
      </c>
      <c r="I12" s="36" t="s">
        <v>280</v>
      </c>
    </row>
    <row r="13" customFormat="false" ht="21.75" hidden="false" customHeight="true" outlineLevel="0" collapsed="false">
      <c r="A13" s="32" t="n">
        <v>8</v>
      </c>
      <c r="B13" s="33" t="s">
        <v>283</v>
      </c>
      <c r="C13" s="32" t="n">
        <v>890</v>
      </c>
      <c r="D13" s="32" t="n">
        <v>178</v>
      </c>
      <c r="E13" s="34" t="n">
        <v>20</v>
      </c>
      <c r="F13" s="32" t="n">
        <v>7.5</v>
      </c>
      <c r="G13" s="34" t="n">
        <v>0.767</v>
      </c>
      <c r="H13" s="35" t="s">
        <v>279</v>
      </c>
      <c r="I13" s="36" t="s">
        <v>280</v>
      </c>
    </row>
    <row r="14" customFormat="false" ht="21.75" hidden="false" customHeight="true" outlineLevel="0" collapsed="false">
      <c r="A14" s="27" t="n">
        <v>9</v>
      </c>
      <c r="B14" s="28" t="s">
        <v>284</v>
      </c>
      <c r="C14" s="27" t="n">
        <v>760</v>
      </c>
      <c r="D14" s="27" t="n">
        <v>142</v>
      </c>
      <c r="E14" s="29" t="n">
        <v>18.7</v>
      </c>
      <c r="F14" s="27" t="n">
        <v>4</v>
      </c>
      <c r="G14" s="29" t="n">
        <v>0.803</v>
      </c>
      <c r="H14" s="35" t="s">
        <v>279</v>
      </c>
      <c r="I14" s="36" t="s">
        <v>280</v>
      </c>
    </row>
    <row r="15" customFormat="false" ht="21.75" hidden="false" customHeight="true" outlineLevel="0" collapsed="false">
      <c r="A15" s="32" t="n">
        <v>10</v>
      </c>
      <c r="B15" s="33" t="s">
        <v>285</v>
      </c>
      <c r="C15" s="32" t="n">
        <v>680</v>
      </c>
      <c r="D15" s="32" t="n">
        <v>125</v>
      </c>
      <c r="E15" s="34" t="n">
        <v>18.4</v>
      </c>
      <c r="F15" s="32" t="n">
        <v>6.4</v>
      </c>
      <c r="G15" s="34" t="n">
        <v>0.836</v>
      </c>
      <c r="H15" s="35" t="s">
        <v>279</v>
      </c>
      <c r="I15" s="36" t="s">
        <v>280</v>
      </c>
    </row>
    <row r="16" customFormat="false" ht="21.75" hidden="false" customHeight="true" outlineLevel="0" collapsed="false">
      <c r="A16" s="27" t="n">
        <v>11</v>
      </c>
      <c r="B16" s="28" t="s">
        <v>286</v>
      </c>
      <c r="C16" s="27" t="n">
        <v>520</v>
      </c>
      <c r="D16" s="27" t="n">
        <v>95</v>
      </c>
      <c r="E16" s="29" t="n">
        <v>18.3</v>
      </c>
      <c r="F16" s="27" t="n">
        <v>5.4</v>
      </c>
      <c r="G16" s="29" t="n">
        <v>0.861</v>
      </c>
      <c r="H16" s="35" t="s">
        <v>279</v>
      </c>
      <c r="I16" s="36" t="s">
        <v>280</v>
      </c>
    </row>
    <row r="17" customFormat="false" ht="21.75" hidden="false" customHeight="true" outlineLevel="0" collapsed="false">
      <c r="A17" s="32" t="n">
        <v>12</v>
      </c>
      <c r="B17" s="33" t="s">
        <v>287</v>
      </c>
      <c r="C17" s="32" t="n">
        <v>490</v>
      </c>
      <c r="D17" s="32" t="n">
        <v>89</v>
      </c>
      <c r="E17" s="34" t="n">
        <v>18.2</v>
      </c>
      <c r="F17" s="32" t="n">
        <v>8</v>
      </c>
      <c r="G17" s="34" t="n">
        <v>0.884</v>
      </c>
      <c r="H17" s="35" t="s">
        <v>279</v>
      </c>
      <c r="I17" s="36" t="s">
        <v>280</v>
      </c>
    </row>
    <row r="18" customFormat="false" ht="21.75" hidden="false" customHeight="true" outlineLevel="0" collapsed="false">
      <c r="A18" s="27" t="n">
        <v>13</v>
      </c>
      <c r="B18" s="28" t="s">
        <v>288</v>
      </c>
      <c r="C18" s="27" t="n">
        <v>460</v>
      </c>
      <c r="D18" s="27" t="n">
        <v>82</v>
      </c>
      <c r="E18" s="29" t="n">
        <v>17.8</v>
      </c>
      <c r="F18" s="27" t="n">
        <v>4.8</v>
      </c>
      <c r="G18" s="29" t="n">
        <v>0.905</v>
      </c>
      <c r="H18" s="35" t="s">
        <v>279</v>
      </c>
      <c r="I18" s="36" t="s">
        <v>280</v>
      </c>
    </row>
    <row r="19" customFormat="false" ht="21.75" hidden="false" customHeight="true" outlineLevel="0" collapsed="false">
      <c r="A19" s="32" t="n">
        <v>14</v>
      </c>
      <c r="B19" s="33" t="s">
        <v>289</v>
      </c>
      <c r="C19" s="32" t="n">
        <v>380</v>
      </c>
      <c r="D19" s="32" t="n">
        <v>68</v>
      </c>
      <c r="E19" s="34" t="n">
        <v>17.9</v>
      </c>
      <c r="F19" s="32" t="n">
        <v>4.3</v>
      </c>
      <c r="G19" s="34" t="n">
        <v>0.923</v>
      </c>
      <c r="H19" s="35" t="s">
        <v>279</v>
      </c>
      <c r="I19" s="36" t="s">
        <v>280</v>
      </c>
    </row>
    <row r="20" customFormat="false" ht="21.75" hidden="false" customHeight="true" outlineLevel="0" collapsed="false">
      <c r="A20" s="27" t="n">
        <v>15</v>
      </c>
      <c r="B20" s="28" t="s">
        <v>290</v>
      </c>
      <c r="C20" s="27" t="n">
        <v>350</v>
      </c>
      <c r="D20" s="27" t="n">
        <v>62</v>
      </c>
      <c r="E20" s="29" t="n">
        <v>17.7</v>
      </c>
      <c r="F20" s="27" t="n">
        <v>7.7</v>
      </c>
      <c r="G20" s="29" t="n">
        <v>0.939</v>
      </c>
      <c r="H20" s="35" t="s">
        <v>279</v>
      </c>
      <c r="I20" s="36" t="s">
        <v>280</v>
      </c>
    </row>
    <row r="21" customFormat="false" ht="21.75" hidden="false" customHeight="true" outlineLevel="0" collapsed="false">
      <c r="A21" s="32" t="n">
        <v>16</v>
      </c>
      <c r="B21" s="33" t="s">
        <v>291</v>
      </c>
      <c r="C21" s="32" t="n">
        <v>320</v>
      </c>
      <c r="D21" s="32" t="n">
        <v>56</v>
      </c>
      <c r="E21" s="34" t="n">
        <v>17.5</v>
      </c>
      <c r="F21" s="32" t="n">
        <v>6.6</v>
      </c>
      <c r="G21" s="34" t="n">
        <v>0.953</v>
      </c>
      <c r="H21" s="35" t="s">
        <v>279</v>
      </c>
      <c r="I21" s="36" t="s">
        <v>280</v>
      </c>
    </row>
    <row r="22" customFormat="false" ht="21.75" hidden="false" customHeight="true" outlineLevel="0" collapsed="false">
      <c r="A22" s="27" t="n">
        <v>17</v>
      </c>
      <c r="B22" s="28" t="s">
        <v>292</v>
      </c>
      <c r="C22" s="27" t="n">
        <v>290</v>
      </c>
      <c r="D22" s="27" t="n">
        <v>51</v>
      </c>
      <c r="E22" s="29" t="n">
        <v>17.6</v>
      </c>
      <c r="F22" s="27" t="n">
        <v>4.9</v>
      </c>
      <c r="G22" s="29" t="n">
        <v>0.967</v>
      </c>
      <c r="H22" s="35" t="s">
        <v>279</v>
      </c>
      <c r="I22" s="36" t="s">
        <v>280</v>
      </c>
    </row>
    <row r="23" customFormat="false" ht="21.75" hidden="false" customHeight="true" outlineLevel="0" collapsed="false">
      <c r="A23" s="32" t="n">
        <v>18</v>
      </c>
      <c r="B23" s="33" t="s">
        <v>293</v>
      </c>
      <c r="C23" s="32" t="n">
        <v>270</v>
      </c>
      <c r="D23" s="32" t="n">
        <v>47</v>
      </c>
      <c r="E23" s="34" t="n">
        <v>17.4</v>
      </c>
      <c r="F23" s="32" t="n">
        <v>5.7</v>
      </c>
      <c r="G23" s="34" t="n">
        <v>0.979</v>
      </c>
      <c r="H23" s="35" t="s">
        <v>279</v>
      </c>
      <c r="I23" s="36" t="s">
        <v>280</v>
      </c>
    </row>
    <row r="24" customFormat="false" ht="21.75" hidden="false" customHeight="true" outlineLevel="0" collapsed="false">
      <c r="A24" s="27" t="n">
        <v>19</v>
      </c>
      <c r="B24" s="28" t="s">
        <v>294</v>
      </c>
      <c r="C24" s="27" t="n">
        <v>250</v>
      </c>
      <c r="D24" s="27" t="n">
        <v>43</v>
      </c>
      <c r="E24" s="29" t="n">
        <v>17.2</v>
      </c>
      <c r="F24" s="27" t="n">
        <v>7.1</v>
      </c>
      <c r="G24" s="29" t="n">
        <v>0.99</v>
      </c>
      <c r="H24" s="35" t="s">
        <v>279</v>
      </c>
      <c r="I24" s="36" t="s">
        <v>280</v>
      </c>
    </row>
    <row r="25" customFormat="false" ht="21.75" hidden="false" customHeight="true" outlineLevel="0" collapsed="false">
      <c r="A25" s="32" t="n">
        <v>20</v>
      </c>
      <c r="B25" s="33" t="s">
        <v>295</v>
      </c>
      <c r="C25" s="32" t="n">
        <v>230</v>
      </c>
      <c r="D25" s="32" t="n">
        <v>39</v>
      </c>
      <c r="E25" s="34" t="n">
        <v>17</v>
      </c>
      <c r="F25" s="32" t="n">
        <v>6.1</v>
      </c>
      <c r="G25" s="34" t="n">
        <v>1</v>
      </c>
      <c r="H25" s="35" t="s">
        <v>279</v>
      </c>
      <c r="I25" s="36" t="s">
        <v>280</v>
      </c>
    </row>
  </sheetData>
  <mergeCells count="3">
    <mergeCell ref="A1:L1"/>
    <mergeCell ref="A2:L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1.5" hidden="false" customHeight="true" outlineLevel="0" collapsed="false">
      <c r="A1" s="6" t="s">
        <v>296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298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6" t="s">
        <v>299</v>
      </c>
      <c r="B5" s="26" t="s">
        <v>300</v>
      </c>
      <c r="C5" s="26" t="s">
        <v>301</v>
      </c>
      <c r="D5" s="26" t="s">
        <v>302</v>
      </c>
      <c r="E5" s="26" t="s">
        <v>303</v>
      </c>
      <c r="F5" s="26" t="s">
        <v>304</v>
      </c>
      <c r="G5" s="26" t="s">
        <v>305</v>
      </c>
    </row>
    <row r="6" customFormat="false" ht="15" hidden="false" customHeight="true" outlineLevel="0" collapsed="false">
      <c r="A6" s="27" t="s">
        <v>306</v>
      </c>
      <c r="B6" s="27" t="n">
        <v>1.8</v>
      </c>
      <c r="C6" s="27" t="n">
        <v>4.6</v>
      </c>
      <c r="D6" s="37" t="n">
        <v>2.8</v>
      </c>
      <c r="E6" s="27" t="n">
        <f aca="false">D6^2*2840</f>
        <v>22265.6</v>
      </c>
      <c r="F6" s="29" t="n">
        <f aca="false">E6/SUM(E6:E8)</f>
        <v>0.382790123541689</v>
      </c>
      <c r="G6" s="38" t="s">
        <v>307</v>
      </c>
    </row>
    <row r="7" customFormat="false" ht="15" hidden="false" customHeight="true" outlineLevel="0" collapsed="false">
      <c r="A7" s="32" t="s">
        <v>308</v>
      </c>
      <c r="B7" s="32" t="n">
        <v>5.2</v>
      </c>
      <c r="C7" s="32" t="n">
        <v>9.1</v>
      </c>
      <c r="D7" s="39" t="n">
        <v>3.9</v>
      </c>
      <c r="E7" s="32" t="n">
        <f aca="false">D7^2*2210</f>
        <v>33614.1</v>
      </c>
      <c r="F7" s="34" t="n">
        <f aca="false">E7/SUM(E6:E8)</f>
        <v>0.577893499018337</v>
      </c>
      <c r="G7" s="35" t="s">
        <v>309</v>
      </c>
    </row>
    <row r="8" customFormat="false" ht="15" hidden="false" customHeight="true" outlineLevel="0" collapsed="false">
      <c r="A8" s="27" t="s">
        <v>310</v>
      </c>
      <c r="B8" s="27" t="n">
        <v>1.3</v>
      </c>
      <c r="C8" s="27" t="n">
        <v>2.4</v>
      </c>
      <c r="D8" s="37" t="n">
        <v>1.1</v>
      </c>
      <c r="E8" s="27" t="n">
        <f aca="false">D8^2*1890</f>
        <v>2286.9</v>
      </c>
      <c r="F8" s="29" t="n">
        <f aca="false">E8/SUM(E6:E8)</f>
        <v>0.0393163774399742</v>
      </c>
      <c r="G8" s="40" t="s">
        <v>311</v>
      </c>
    </row>
  </sheetData>
  <mergeCells count="3">
    <mergeCell ref="A1:L1"/>
    <mergeCell ref="A2:L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1" customFormat="false" ht="31.5" hidden="false" customHeight="true" outlineLevel="0" collapsed="false">
      <c r="A1" s="6" t="s">
        <v>312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313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314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9" t="s">
        <v>315</v>
      </c>
      <c r="B5" s="12" t="s">
        <v>316</v>
      </c>
      <c r="C5" s="11" t="s">
        <v>20</v>
      </c>
      <c r="D5" s="10" t="s">
        <v>317</v>
      </c>
      <c r="E5" s="12" t="s">
        <v>318</v>
      </c>
    </row>
    <row r="6" customFormat="false" ht="25.5" hidden="false" customHeight="true" outlineLevel="0" collapsed="false">
      <c r="A6" s="41" t="s">
        <v>319</v>
      </c>
      <c r="B6" s="17" t="s">
        <v>320</v>
      </c>
      <c r="C6" s="16" t="s">
        <v>24</v>
      </c>
      <c r="D6" s="15" t="s">
        <v>25</v>
      </c>
      <c r="E6" s="17" t="s">
        <v>321</v>
      </c>
    </row>
    <row r="8" customFormat="false" ht="19.5" hidden="false" customHeight="true" outlineLevel="0" collapsed="false">
      <c r="A8" s="8" t="s">
        <v>322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21.75" hidden="false" customHeight="true" outlineLevel="0" collapsed="false">
      <c r="A9" s="26" t="s">
        <v>323</v>
      </c>
      <c r="B9" s="26" t="s">
        <v>324</v>
      </c>
      <c r="C9" s="26" t="s">
        <v>325</v>
      </c>
      <c r="D9" s="26" t="s">
        <v>326</v>
      </c>
      <c r="E9" s="26" t="s">
        <v>327</v>
      </c>
      <c r="F9" s="26" t="s">
        <v>328</v>
      </c>
      <c r="G9" s="26" t="s">
        <v>329</v>
      </c>
      <c r="H9" s="26" t="s">
        <v>330</v>
      </c>
    </row>
    <row r="10" customFormat="false" ht="24" hidden="false" customHeight="true" outlineLevel="0" collapsed="false">
      <c r="A10" s="38" t="n">
        <v>1</v>
      </c>
      <c r="B10" s="42" t="s">
        <v>331</v>
      </c>
      <c r="C10" s="42" t="s">
        <v>332</v>
      </c>
      <c r="D10" s="42" t="s">
        <v>333</v>
      </c>
      <c r="E10" s="43" t="n">
        <v>380000</v>
      </c>
      <c r="F10" s="42" t="s">
        <v>334</v>
      </c>
      <c r="G10" s="38" t="s">
        <v>335</v>
      </c>
      <c r="H10" s="42" t="s">
        <v>336</v>
      </c>
    </row>
    <row r="11" customFormat="false" ht="24" hidden="false" customHeight="true" outlineLevel="0" collapsed="false">
      <c r="A11" s="38" t="n">
        <v>2</v>
      </c>
      <c r="B11" s="42" t="s">
        <v>337</v>
      </c>
      <c r="C11" s="42" t="s">
        <v>338</v>
      </c>
      <c r="D11" s="42" t="s">
        <v>339</v>
      </c>
      <c r="E11" s="43" t="n">
        <v>45000</v>
      </c>
      <c r="F11" s="42" t="s">
        <v>340</v>
      </c>
      <c r="G11" s="38" t="s">
        <v>341</v>
      </c>
      <c r="H11" s="42" t="s">
        <v>336</v>
      </c>
    </row>
    <row r="12" customFormat="false" ht="24" hidden="false" customHeight="true" outlineLevel="0" collapsed="false">
      <c r="A12" s="35" t="n">
        <v>3</v>
      </c>
      <c r="B12" s="44" t="s">
        <v>342</v>
      </c>
      <c r="C12" s="44" t="s">
        <v>343</v>
      </c>
      <c r="D12" s="44" t="s">
        <v>344</v>
      </c>
      <c r="E12" s="45" t="n">
        <v>60000</v>
      </c>
      <c r="F12" s="44" t="s">
        <v>345</v>
      </c>
      <c r="G12" s="35" t="s">
        <v>341</v>
      </c>
      <c r="H12" s="44" t="s">
        <v>346</v>
      </c>
    </row>
  </sheetData>
  <mergeCells count="4">
    <mergeCell ref="A1:L1"/>
    <mergeCell ref="A2:L2"/>
    <mergeCell ref="A4:J4"/>
    <mergeCell ref="A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2026-04-10T19:47:41Z</dcterms:created>
  <dc:creator>openpyxl</dc:creator>
  <dc:description/>
  <dc:language>en-US</dc:language>
  <cp:lastModifiedBy/>
  <dcterms:modified xsi:type="dcterms:W3CDTF">2026-04-10T22:48:11Z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