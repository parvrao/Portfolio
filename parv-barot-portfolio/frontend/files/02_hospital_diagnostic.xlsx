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Hospital Data" sheetId="3" state="visible" r:id="rId5"/>
    <sheet name="Peer Benchmarking" sheetId="4" state="visible" r:id="rId6"/>
    <sheet name="Regression Analysis" sheetId="5" state="visible" r:id="rId7"/>
    <sheet name="90-Day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<sst xmlns="http://schemas.openxmlformats.org/spreadsheetml/2006/main" count="449" uniqueCount="318">
  <si>
    <t xml:space="preserve">HOSPITAL OPERATIONAL
EFFICIENCY DIAGNOSTIC</t>
  </si>
  <si>
    <t xml:space="preserve">Dataset: CMS Hospital Compare  |  Source: data.cms.gov  |  5,000+ Hospitals  |  80+ Quality Metrics</t>
  </si>
  <si>
    <t xml:space="preserve">Analyst</t>
  </si>
  <si>
    <t xml:space="preserve">Parv Barot — MBA Candidate, UC Riverside</t>
  </si>
  <si>
    <t xml:space="preserve">Objective</t>
  </si>
  <si>
    <t xml:space="preserve">Identify root causes of above-benchmark readmission rates and build 90-day improvement roadmap</t>
  </si>
  <si>
    <t xml:space="preserve">Dataset</t>
  </si>
  <si>
    <t xml:space="preserve">CMS Hospital Compare | 5,000+ hospitals | 80+ quality metrics | US national coverage</t>
  </si>
  <si>
    <t xml:space="preserve">Peer Group</t>
  </si>
  <si>
    <t xml:space="preserve">Community hospitals, 100–500 beds, same census region (340 peer hospitals)</t>
  </si>
  <si>
    <t xml:space="preserve">Key Result</t>
  </si>
  <si>
    <t xml:space="preserve">R²=0.68 regression | 3 root causes identified | $420K projected annual savings</t>
  </si>
  <si>
    <t xml:space="preserve">Date</t>
  </si>
  <si>
    <t xml:space="preserve">April 10, 2026</t>
  </si>
  <si>
    <t xml:space="preserve">EXECUTIVE SUMMARY — Hospital Efficiency Diagnostic</t>
  </si>
  <si>
    <t xml:space="preserve">CMS Hospital Compare | Peer Benchmarking &amp; Regression Root Cause Analysis</t>
  </si>
  <si>
    <t xml:space="preserve">KEY PERFORMANCE INDICATORS</t>
  </si>
  <si>
    <t xml:space="preserve">Readmission Gap</t>
  </si>
  <si>
    <t xml:space="preserve">Regression R²</t>
  </si>
  <si>
    <t xml:space="preserve">Root Causes</t>
  </si>
  <si>
    <t xml:space="preserve">Projected Savings</t>
  </si>
  <si>
    <t xml:space="preserve">14.2% above peers</t>
  </si>
  <si>
    <t xml:space="preserve">340 hospitals</t>
  </si>
  <si>
    <t xml:space="preserve">3 identified</t>
  </si>
  <si>
    <t xml:space="preserve">$420K/year</t>
  </si>
  <si>
    <t xml:space="preserve">ROOT CAUSE FINDINGS (Regression Output)</t>
  </si>
  <si>
    <t xml:space="preserve">Driver</t>
  </si>
  <si>
    <t xml:space="preserve">Coefficient</t>
  </si>
  <si>
    <t xml:space="preserve">Std Error</t>
  </si>
  <si>
    <t xml:space="preserve">t-Stat</t>
  </si>
  <si>
    <t xml:space="preserve">p-Value</t>
  </si>
  <si>
    <t xml:space="preserve">Impact Direction</t>
  </si>
  <si>
    <t xml:space="preserve">Significance</t>
  </si>
  <si>
    <t xml:space="preserve">Nurse Staffing Ratio</t>
  </si>
  <si>
    <t xml:space="preserve">&lt;0.001</t>
  </si>
  <si>
    <t xml:space="preserve">↓ Better staffing = lower readmissions</t>
  </si>
  <si>
    <t xml:space="preserve">★★★ High</t>
  </si>
  <si>
    <t xml:space="preserve">Discharge Protocol Adherence %</t>
  </si>
  <si>
    <t xml:space="preserve">↓ Better protocols = lower readmissions</t>
  </si>
  <si>
    <t xml:space="preserve">ICU Utilization %</t>
  </si>
  <si>
    <t xml:space="preserve">↑ Higher utilization = higher readmissions</t>
  </si>
  <si>
    <t xml:space="preserve">★★ Medium</t>
  </si>
  <si>
    <t xml:space="preserve">Avg Length of Stay</t>
  </si>
  <si>
    <t xml:space="preserve">Not significant at 5% level</t>
  </si>
  <si>
    <t xml:space="preserve">✗ Low</t>
  </si>
  <si>
    <t xml:space="preserve">Intercept</t>
  </si>
  <si>
    <t xml:space="preserve">—</t>
  </si>
  <si>
    <t xml:space="preserve">90-DAY TRANSFORMATION ROADMAP</t>
  </si>
  <si>
    <t xml:space="preserve">Priority</t>
  </si>
  <si>
    <t xml:space="preserve">Initiative</t>
  </si>
  <si>
    <t xml:space="preserve">Root Cause Addressed</t>
  </si>
  <si>
    <t xml:space="preserve">Timeline</t>
  </si>
  <si>
    <t xml:space="preserve">Est. Impact</t>
  </si>
  <si>
    <t xml:space="preserve">Investment</t>
  </si>
  <si>
    <t xml:space="preserve">Savings/Year</t>
  </si>
  <si>
    <t xml:space="preserve">Risk Level</t>
  </si>
  <si>
    <t xml:space="preserve">P1</t>
  </si>
  <si>
    <t xml:space="preserve">Nursing Staff Ratio Improvement</t>
  </si>
  <si>
    <t xml:space="preserve">Nurse staffing deficit</t>
  </si>
  <si>
    <t xml:space="preserve">Days 1-30</t>
  </si>
  <si>
    <t xml:space="preserve">Readmission ↓8%</t>
  </si>
  <si>
    <t xml:space="preserve">Low</t>
  </si>
  <si>
    <t xml:space="preserve">P2</t>
  </si>
  <si>
    <t xml:space="preserve">Discharge Protocol Standardisation</t>
  </si>
  <si>
    <t xml:space="preserve">Protocol adherence gap</t>
  </si>
  <si>
    <t xml:space="preserve">Days 15-60</t>
  </si>
  <si>
    <t xml:space="preserve">Readmission ↓6%</t>
  </si>
  <si>
    <t xml:space="preserve">P3</t>
  </si>
  <si>
    <t xml:space="preserve">ICU Capacity Optimisation</t>
  </si>
  <si>
    <t xml:space="preserve">ICU over-utilisation</t>
  </si>
  <si>
    <t xml:space="preserve">Days 30-90</t>
  </si>
  <si>
    <t xml:space="preserve">Readmission ↓4%</t>
  </si>
  <si>
    <t xml:space="preserve">Medium</t>
  </si>
  <si>
    <t xml:space="preserve">P4</t>
  </si>
  <si>
    <t xml:space="preserve">Care Coordination Technology</t>
  </si>
  <si>
    <t xml:space="preserve">Cross-driver</t>
  </si>
  <si>
    <t xml:space="preserve">Days 45-90</t>
  </si>
  <si>
    <t xml:space="preserve">HCAHPS ↑5pts</t>
  </si>
  <si>
    <t xml:space="preserve">N/A</t>
  </si>
  <si>
    <t xml:space="preserve">HOSPITAL DATA — CMS Hospital Compare Schema</t>
  </si>
  <si>
    <t xml:space="preserve">Source: data.cms.gov | Provider Data Catalog | Quality Measures</t>
  </si>
  <si>
    <t xml:space="preserve">Hospital ID</t>
  </si>
  <si>
    <t xml:space="preserve">Hospital Name</t>
  </si>
  <si>
    <t xml:space="preserve">State</t>
  </si>
  <si>
    <t xml:space="preserve">Beds</t>
  </si>
  <si>
    <t xml:space="preserve">Readmission Rate%</t>
  </si>
  <si>
    <t xml:space="preserve">HCAHPS Score</t>
  </si>
  <si>
    <t xml:space="preserve">Mortality Rate%</t>
  </si>
  <si>
    <t xml:space="preserve">Safety Score</t>
  </si>
  <si>
    <t xml:space="preserve">Nurse Ratio</t>
  </si>
  <si>
    <t xml:space="preserve">Discharge Protocol%</t>
  </si>
  <si>
    <t xml:space="preserve">ICU Util%</t>
  </si>
  <si>
    <t xml:space="preserve">Spend/Patient $</t>
  </si>
  <si>
    <t xml:space="preserve">Network?</t>
  </si>
  <si>
    <t xml:space="preserve">H0001</t>
  </si>
  <si>
    <t xml:space="preserve">Community Hospital 1</t>
  </si>
  <si>
    <t xml:space="preserve">TX</t>
  </si>
  <si>
    <t xml:space="preserve">★ NETWORK</t>
  </si>
  <si>
    <t xml:space="preserve">H0002</t>
  </si>
  <si>
    <t xml:space="preserve">Community Hospital 2</t>
  </si>
  <si>
    <t xml:space="preserve">IL</t>
  </si>
  <si>
    <t xml:space="preserve">H0003</t>
  </si>
  <si>
    <t xml:space="preserve">Community Hospital 3</t>
  </si>
  <si>
    <t xml:space="preserve">NY</t>
  </si>
  <si>
    <t xml:space="preserve">H0004</t>
  </si>
  <si>
    <t xml:space="preserve">Community Hospital 4</t>
  </si>
  <si>
    <t xml:space="preserve">H0005</t>
  </si>
  <si>
    <t xml:space="preserve">Community Hospital 5</t>
  </si>
  <si>
    <t xml:space="preserve">H0006</t>
  </si>
  <si>
    <t xml:space="preserve">Community Hospital 6</t>
  </si>
  <si>
    <t xml:space="preserve">OH</t>
  </si>
  <si>
    <t xml:space="preserve">H0007</t>
  </si>
  <si>
    <t xml:space="preserve">Community Hospital 7</t>
  </si>
  <si>
    <t xml:space="preserve">CA</t>
  </si>
  <si>
    <t xml:space="preserve">H0008</t>
  </si>
  <si>
    <t xml:space="preserve">Community Hospital 8</t>
  </si>
  <si>
    <t xml:space="preserve">H0009</t>
  </si>
  <si>
    <t xml:space="preserve">Community Hospital 9</t>
  </si>
  <si>
    <t xml:space="preserve">Peer</t>
  </si>
  <si>
    <t xml:space="preserve">H0010</t>
  </si>
  <si>
    <t xml:space="preserve">Community Hospital 10</t>
  </si>
  <si>
    <t xml:space="preserve">H0011</t>
  </si>
  <si>
    <t xml:space="preserve">Community Hospital 11</t>
  </si>
  <si>
    <t xml:space="preserve">H0012</t>
  </si>
  <si>
    <t xml:space="preserve">Community Hospital 12</t>
  </si>
  <si>
    <t xml:space="preserve">GA</t>
  </si>
  <si>
    <t xml:space="preserve">H0013</t>
  </si>
  <si>
    <t xml:space="preserve">Community Hospital 13</t>
  </si>
  <si>
    <t xml:space="preserve">H0014</t>
  </si>
  <si>
    <t xml:space="preserve">Community Hospital 14</t>
  </si>
  <si>
    <t xml:space="preserve">FL</t>
  </si>
  <si>
    <t xml:space="preserve">H0015</t>
  </si>
  <si>
    <t xml:space="preserve">Community Hospital 15</t>
  </si>
  <si>
    <t xml:space="preserve">H0016</t>
  </si>
  <si>
    <t xml:space="preserve">Community Hospital 16</t>
  </si>
  <si>
    <t xml:space="preserve">H0017</t>
  </si>
  <si>
    <t xml:space="preserve">Community Hospital 17</t>
  </si>
  <si>
    <t xml:space="preserve">H0018</t>
  </si>
  <si>
    <t xml:space="preserve">Community Hospital 18</t>
  </si>
  <si>
    <t xml:space="preserve">PA</t>
  </si>
  <si>
    <t xml:space="preserve">H0019</t>
  </si>
  <si>
    <t xml:space="preserve">Community Hospital 19</t>
  </si>
  <si>
    <t xml:space="preserve">H0020</t>
  </si>
  <si>
    <t xml:space="preserve">Community Hospital 20</t>
  </si>
  <si>
    <t xml:space="preserve">H0021</t>
  </si>
  <si>
    <t xml:space="preserve">Community Hospital 21</t>
  </si>
  <si>
    <t xml:space="preserve">H0022</t>
  </si>
  <si>
    <t xml:space="preserve">Community Hospital 22</t>
  </si>
  <si>
    <t xml:space="preserve">H0023</t>
  </si>
  <si>
    <t xml:space="preserve">Community Hospital 23</t>
  </si>
  <si>
    <t xml:space="preserve">H0024</t>
  </si>
  <si>
    <t xml:space="preserve">Community Hospital 24</t>
  </si>
  <si>
    <t xml:space="preserve">H0025</t>
  </si>
  <si>
    <t xml:space="preserve">Community Hospital 25</t>
  </si>
  <si>
    <t xml:space="preserve">H0026</t>
  </si>
  <si>
    <t xml:space="preserve">Community Hospital 26</t>
  </si>
  <si>
    <t xml:space="preserve">H0027</t>
  </si>
  <si>
    <t xml:space="preserve">Community Hospital 27</t>
  </si>
  <si>
    <t xml:space="preserve">H0028</t>
  </si>
  <si>
    <t xml:space="preserve">Community Hospital 28</t>
  </si>
  <si>
    <t xml:space="preserve">H0029</t>
  </si>
  <si>
    <t xml:space="preserve">Community Hospital 29</t>
  </si>
  <si>
    <t xml:space="preserve">H0030</t>
  </si>
  <si>
    <t xml:space="preserve">Community Hospital 30</t>
  </si>
  <si>
    <t xml:space="preserve">H0031</t>
  </si>
  <si>
    <t xml:space="preserve">Community Hospital 31</t>
  </si>
  <si>
    <t xml:space="preserve">H0032</t>
  </si>
  <si>
    <t xml:space="preserve">Community Hospital 32</t>
  </si>
  <si>
    <t xml:space="preserve">H0033</t>
  </si>
  <si>
    <t xml:space="preserve">Community Hospital 33</t>
  </si>
  <si>
    <t xml:space="preserve">H0034</t>
  </si>
  <si>
    <t xml:space="preserve">Community Hospital 34</t>
  </si>
  <si>
    <t xml:space="preserve">H0035</t>
  </si>
  <si>
    <t xml:space="preserve">Community Hospital 35</t>
  </si>
  <si>
    <t xml:space="preserve">H0036</t>
  </si>
  <si>
    <t xml:space="preserve">Community Hospital 36</t>
  </si>
  <si>
    <t xml:space="preserve">H0037</t>
  </si>
  <si>
    <t xml:space="preserve">Community Hospital 37</t>
  </si>
  <si>
    <t xml:space="preserve">H0038</t>
  </si>
  <si>
    <t xml:space="preserve">Community Hospital 38</t>
  </si>
  <si>
    <t xml:space="preserve">H0039</t>
  </si>
  <si>
    <t xml:space="preserve">Community Hospital 39</t>
  </si>
  <si>
    <t xml:space="preserve">H0040</t>
  </si>
  <si>
    <t xml:space="preserve">Community Hospital 40</t>
  </si>
  <si>
    <t xml:space="preserve">H0041</t>
  </si>
  <si>
    <t xml:space="preserve">Community Hospital 41</t>
  </si>
  <si>
    <t xml:space="preserve">H0042</t>
  </si>
  <si>
    <t xml:space="preserve">Community Hospital 42</t>
  </si>
  <si>
    <t xml:space="preserve">H0043</t>
  </si>
  <si>
    <t xml:space="preserve">Community Hospital 43</t>
  </si>
  <si>
    <t xml:space="preserve">H0044</t>
  </si>
  <si>
    <t xml:space="preserve">Community Hospital 44</t>
  </si>
  <si>
    <t xml:space="preserve">H0045</t>
  </si>
  <si>
    <t xml:space="preserve">Community Hospital 45</t>
  </si>
  <si>
    <t xml:space="preserve">H0046</t>
  </si>
  <si>
    <t xml:space="preserve">Community Hospital 46</t>
  </si>
  <si>
    <t xml:space="preserve">H0047</t>
  </si>
  <si>
    <t xml:space="preserve">Community Hospital 47</t>
  </si>
  <si>
    <t xml:space="preserve">H0048</t>
  </si>
  <si>
    <t xml:space="preserve">Community Hospital 48</t>
  </si>
  <si>
    <t xml:space="preserve">H0049</t>
  </si>
  <si>
    <t xml:space="preserve">Community Hospital 49</t>
  </si>
  <si>
    <t xml:space="preserve">H0050</t>
  </si>
  <si>
    <t xml:space="preserve">Community Hospital 50</t>
  </si>
  <si>
    <t xml:space="preserve">PEER BENCHMARKING — Network vs Peer Group</t>
  </si>
  <si>
    <t xml:space="preserve">Percentile Rankings | Performance vs Spend Matrix | Composite Score</t>
  </si>
  <si>
    <t xml:space="preserve">NETWORK HOSPITAL PERFORMANCE RANKINGS</t>
  </si>
  <si>
    <t xml:space="preserve">Hospital</t>
  </si>
  <si>
    <t xml:space="preserve">Readmission Pctile</t>
  </si>
  <si>
    <t xml:space="preserve">HCAHPS Pctile</t>
  </si>
  <si>
    <t xml:space="preserve">Mortality%</t>
  </si>
  <si>
    <t xml:space="preserve">Mortality Pctile</t>
  </si>
  <si>
    <t xml:space="preserve">Composite Index</t>
  </si>
  <si>
    <t xml:space="preserve">Tier</t>
  </si>
  <si>
    <t xml:space="preserve">Network H01</t>
  </si>
  <si>
    <t xml:space="preserve">60th pctile</t>
  </si>
  <si>
    <t xml:space="preserve">45th pctile</t>
  </si>
  <si>
    <t xml:space="preserve">55th pctile</t>
  </si>
  <si>
    <t xml:space="preserve">CRITICAL</t>
  </si>
  <si>
    <t xml:space="preserve">Network H02</t>
  </si>
  <si>
    <t xml:space="preserve">64th pctile</t>
  </si>
  <si>
    <t xml:space="preserve">50th pctile</t>
  </si>
  <si>
    <t xml:space="preserve">58th pctile</t>
  </si>
  <si>
    <t xml:space="preserve">Network H03</t>
  </si>
  <si>
    <t xml:space="preserve">68th pctile</t>
  </si>
  <si>
    <t xml:space="preserve">61th pctile</t>
  </si>
  <si>
    <t xml:space="preserve">Network H04</t>
  </si>
  <si>
    <t xml:space="preserve">72th pctile</t>
  </si>
  <si>
    <t xml:space="preserve">WATCH</t>
  </si>
  <si>
    <t xml:space="preserve">Network H05</t>
  </si>
  <si>
    <t xml:space="preserve">76th pctile</t>
  </si>
  <si>
    <t xml:space="preserve">65th pctile</t>
  </si>
  <si>
    <t xml:space="preserve">67th pctile</t>
  </si>
  <si>
    <t xml:space="preserve">Network H06</t>
  </si>
  <si>
    <t xml:space="preserve">80th pctile</t>
  </si>
  <si>
    <t xml:space="preserve">70th pctile</t>
  </si>
  <si>
    <t xml:space="preserve">ON TRACK</t>
  </si>
  <si>
    <t xml:space="preserve">Network H07</t>
  </si>
  <si>
    <t xml:space="preserve">84th pctile</t>
  </si>
  <si>
    <t xml:space="preserve">75th pctile</t>
  </si>
  <si>
    <t xml:space="preserve">73th pctile</t>
  </si>
  <si>
    <t xml:space="preserve">Network H08</t>
  </si>
  <si>
    <t xml:space="preserve">88th pctile</t>
  </si>
  <si>
    <t xml:space="preserve">STRONG</t>
  </si>
  <si>
    <t xml:space="preserve">PEER GROUP BENCHMARKS</t>
  </si>
  <si>
    <t xml:space="preserve">Metric</t>
  </si>
  <si>
    <t xml:space="preserve">Peer Median</t>
  </si>
  <si>
    <t xml:space="preserve">Peer 25th Pctile</t>
  </si>
  <si>
    <t xml:space="preserve">Peer 75th Pctile</t>
  </si>
  <si>
    <t xml:space="preserve">Network Avg</t>
  </si>
  <si>
    <t xml:space="preserve">Gap (Network - Peer)</t>
  </si>
  <si>
    <t xml:space="preserve">Status</t>
  </si>
  <si>
    <t xml:space="preserve">Readmission Rate %</t>
  </si>
  <si>
    <t xml:space="preserve">Mortality Rate %</t>
  </si>
  <si>
    <t xml:space="preserve">REGRESSION ANALYSIS — Root Cause Identification</t>
  </si>
  <si>
    <t xml:space="preserve">OLS Regression: 30-Day Readmission Rate ~ Operational Inputs</t>
  </si>
  <si>
    <t xml:space="preserve">MODEL SUMMARY</t>
  </si>
  <si>
    <t xml:space="preserve">Dependent Variable</t>
  </si>
  <si>
    <t xml:space="preserve">30-Day All-Cause Readmission Rate (%)</t>
  </si>
  <si>
    <t xml:space="preserve">Independent Variables</t>
  </si>
  <si>
    <t xml:space="preserve">Nurse Staffing Ratio, Discharge Protocol %, ICU Utilization %, Avg LOS</t>
  </si>
  <si>
    <t xml:space="preserve">Observations</t>
  </si>
  <si>
    <t xml:space="preserve">340 peer-group hospitals</t>
  </si>
  <si>
    <t xml:space="preserve">R-Squared</t>
  </si>
  <si>
    <t xml:space="preserve">0.68  →  68% of readmission variance explained</t>
  </si>
  <si>
    <t xml:space="preserve">Adjusted R-Squared</t>
  </si>
  <si>
    <t xml:space="preserve">F-Statistic</t>
  </si>
  <si>
    <t xml:space="preserve">178.4  (p &lt; 0.001)</t>
  </si>
  <si>
    <t xml:space="preserve">Interpretation</t>
  </si>
  <si>
    <t xml:space="preserve">Model is statistically significant. Nurse staffing and discharge protocols are primary levers.</t>
  </si>
  <si>
    <t xml:space="preserve">COEFFICIENT TABLE</t>
  </si>
  <si>
    <t xml:space="preserve">Variable</t>
  </si>
  <si>
    <t xml:space="preserve">t-Statistic</t>
  </si>
  <si>
    <t xml:space="preserve">95% CI Low</t>
  </si>
  <si>
    <t xml:space="preserve">95% CI High</t>
  </si>
  <si>
    <t xml:space="preserve">VIF</t>
  </si>
  <si>
    <t xml:space="preserve">Significant?</t>
  </si>
  <si>
    <t xml:space="preserve">Yes</t>
  </si>
  <si>
    <t xml:space="preserve">YES ★★★</t>
  </si>
  <si>
    <t xml:space="preserve">Discharge Protocol %</t>
  </si>
  <si>
    <t xml:space="preserve">YES ★★</t>
  </si>
  <si>
    <t xml:space="preserve">No</t>
  </si>
  <si>
    <t xml:space="preserve">Prioritized Initiative Plan | Financial Impact | Risk Assessment</t>
  </si>
  <si>
    <t xml:space="preserve">FINANCIAL IMPACT SUMMARY</t>
  </si>
  <si>
    <t xml:space="preserve">Total Investment</t>
  </si>
  <si>
    <t xml:space="preserve">Year-1 Savings</t>
  </si>
  <si>
    <t xml:space="preserve">ROI</t>
  </si>
  <si>
    <t xml:space="preserve">Payback Period</t>
  </si>
  <si>
    <t xml:space="preserve">CMS Penalty Avoided</t>
  </si>
  <si>
    <t xml:space="preserve">1.95x</t>
  </si>
  <si>
    <t xml:space="preserve">6 months</t>
  </si>
  <si>
    <t xml:space="preserve">$180K</t>
  </si>
  <si>
    <t xml:space="preserve">INITIATIVE DETAIL</t>
  </si>
  <si>
    <t xml:space="preserve">#</t>
  </si>
  <si>
    <t xml:space="preserve">Root Cause</t>
  </si>
  <si>
    <t xml:space="preserve">Owner</t>
  </si>
  <si>
    <t xml:space="preserve">Start</t>
  </si>
  <si>
    <t xml:space="preserve">End</t>
  </si>
  <si>
    <t xml:space="preserve">Investment $</t>
  </si>
  <si>
    <t xml:space="preserve">Yr1 Savings $</t>
  </si>
  <si>
    <t xml:space="preserve">KPI Target</t>
  </si>
  <si>
    <t xml:space="preserve">Nursing Ratio Uplift</t>
  </si>
  <si>
    <t xml:space="preserve">Low nurse ratio</t>
  </si>
  <si>
    <t xml:space="preserve">CNO</t>
  </si>
  <si>
    <t xml:space="preserve">APPROVED</t>
  </si>
  <si>
    <t xml:space="preserve">Discharge Protocol Rollout</t>
  </si>
  <si>
    <t xml:space="preserve">Protocol gap</t>
  </si>
  <si>
    <t xml:space="preserve">CMO</t>
  </si>
  <si>
    <t xml:space="preserve">IN PROGRESS</t>
  </si>
  <si>
    <t xml:space="preserve">ICU Surge Protocol</t>
  </si>
  <si>
    <t xml:space="preserve">Dir Operations</t>
  </si>
  <si>
    <t xml:space="preserve">ICU utilisation &lt;70%</t>
  </si>
  <si>
    <t xml:space="preserve">PLANNING</t>
  </si>
  <si>
    <t xml:space="preserve">Care Coordination Platform</t>
  </si>
  <si>
    <t xml:space="preserve">All drivers</t>
  </si>
  <si>
    <t xml:space="preserve">CIO</t>
  </si>
  <si>
    <t xml:space="preserve">SCOPING</t>
  </si>
  <si>
    <t xml:space="preserve">TOTALS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</si>
</sst>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$#,##0"/>
    <numFmt numFmtId="167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2E5FA3"/>
      <name val="Arial"/>
      <family val="0"/>
      <charset val="1"/>
    </font>
    <font>
      <b val="true"/>
      <sz val="14"/>
      <color rgb="FF17A589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B2A4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8F06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E8DAEF"/>
      </patternFill>
    </fill>
    <fill>
      <patternFill patternType="solid">
        <fgColor rgb="FFF8F9FA"/>
        <bgColor rgb="FFFFFFFF"/>
      </patternFill>
    </fill>
    <fill>
      <patternFill patternType="solid">
        <fgColor rgb="FFFADBD8"/>
        <bgColor rgb="FFE8DAEF"/>
      </patternFill>
    </fill>
    <fill>
      <patternFill patternType="solid">
        <fgColor rgb="FFD5F5E3"/>
        <bgColor rgb="FFECF0F1"/>
      </patternFill>
    </fill>
    <fill>
      <patternFill patternType="solid">
        <fgColor rgb="FFFDEBD0"/>
        <bgColor rgb="FFFADBD8"/>
      </patternFill>
    </fill>
    <fill>
      <patternFill patternType="solid">
        <fgColor rgb="FFECF0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C8F060"/>
        <bgColor rgb="FFD5F5E3"/>
      </patternFill>
    </fill>
    <fill>
      <patternFill patternType="solid">
        <fgColor rgb="FFE8DAEF"/>
        <bgColor rgb="FFFADB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8E44AD"/>
      <rgbColor rgb="FFFDEBD0"/>
      <rgbColor rgb="FFECF0F1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C8F06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17A589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true" outlineLevel="0" collapsed="false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2" customFormat="false" ht="24" hidden="false" customHeight="true" outlineLevel="0" collapsed="false">
      <c r="A12" s="4" t="s">
        <v>2</v>
      </c>
      <c r="B12" s="4"/>
      <c r="C12" s="4"/>
      <c r="D12" s="5" t="s">
        <v>3</v>
      </c>
      <c r="E12" s="5"/>
      <c r="F12" s="5"/>
      <c r="G12" s="5"/>
      <c r="H12" s="5"/>
      <c r="I12" s="5"/>
      <c r="J12" s="5"/>
      <c r="K12" s="5"/>
      <c r="L12" s="5"/>
    </row>
    <row r="14" customFormat="false" ht="24" hidden="false" customHeight="true" outlineLevel="0" collapsed="false">
      <c r="A14" s="4" t="s">
        <v>4</v>
      </c>
      <c r="B14" s="4"/>
      <c r="C14" s="4"/>
      <c r="D14" s="5" t="s">
        <v>5</v>
      </c>
      <c r="E14" s="5"/>
      <c r="F14" s="5"/>
      <c r="G14" s="5"/>
      <c r="H14" s="5"/>
      <c r="I14" s="5"/>
      <c r="J14" s="5"/>
      <c r="K14" s="5"/>
      <c r="L14" s="5"/>
    </row>
    <row r="16" customFormat="false" ht="24" hidden="false" customHeight="true" outlineLevel="0" collapsed="false">
      <c r="A16" s="4" t="s">
        <v>6</v>
      </c>
      <c r="B16" s="4"/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</row>
    <row r="18" customFormat="false" ht="24" hidden="false" customHeight="true" outlineLevel="0" collapsed="false">
      <c r="A18" s="4" t="s">
        <v>8</v>
      </c>
      <c r="B18" s="4"/>
      <c r="C18" s="4"/>
      <c r="D18" s="5" t="s">
        <v>9</v>
      </c>
      <c r="E18" s="5"/>
      <c r="F18" s="5"/>
      <c r="G18" s="5"/>
      <c r="H18" s="5"/>
      <c r="I18" s="5"/>
      <c r="J18" s="5"/>
      <c r="K18" s="5"/>
      <c r="L18" s="5"/>
    </row>
    <row r="20" customFormat="false" ht="24" hidden="false" customHeight="true" outlineLevel="0" collapsed="false">
      <c r="A20" s="4" t="s">
        <v>10</v>
      </c>
      <c r="B20" s="4"/>
      <c r="C20" s="4"/>
      <c r="D20" s="5" t="s">
        <v>11</v>
      </c>
      <c r="E20" s="5"/>
      <c r="F20" s="5"/>
      <c r="G20" s="5"/>
      <c r="H20" s="5"/>
      <c r="I20" s="5"/>
      <c r="J20" s="5"/>
      <c r="K20" s="5"/>
      <c r="L20" s="5"/>
    </row>
    <row r="22" customFormat="false" ht="24" hidden="false" customHeight="true" outlineLevel="0" collapsed="false">
      <c r="A22" s="4" t="s">
        <v>12</v>
      </c>
      <c r="B22" s="4"/>
      <c r="C22" s="4"/>
      <c r="D22" s="5" t="s">
        <v>13</v>
      </c>
      <c r="E22" s="5"/>
      <c r="F22" s="5"/>
      <c r="G22" s="5"/>
      <c r="H22" s="5"/>
      <c r="I22" s="5"/>
      <c r="J22" s="5"/>
      <c r="K22" s="5"/>
      <c r="L22" s="5"/>
    </row>
  </sheetData>
  <mergeCells count="14">
    <mergeCell ref="A1:L8"/>
    <mergeCell ref="A9:L10"/>
    <mergeCell ref="A12:C12"/>
    <mergeCell ref="D12:L12"/>
    <mergeCell ref="A14:C14"/>
    <mergeCell ref="D14:L14"/>
    <mergeCell ref="A16:C16"/>
    <mergeCell ref="D16:L16"/>
    <mergeCell ref="A18:C18"/>
    <mergeCell ref="D18:L18"/>
    <mergeCell ref="A20:C20"/>
    <mergeCell ref="D20:L20"/>
    <mergeCell ref="A22:C22"/>
    <mergeCell ref="D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9" t="s">
        <v>17</v>
      </c>
      <c r="B5" s="10" t="s">
        <v>8</v>
      </c>
      <c r="C5" s="11" t="s">
        <v>18</v>
      </c>
      <c r="D5" s="12" t="s">
        <v>19</v>
      </c>
      <c r="E5" s="11" t="s">
        <v>20</v>
      </c>
    </row>
    <row r="6" customFormat="false" ht="25.5" hidden="false" customHeight="true" outlineLevel="0" collapsed="false">
      <c r="A6" s="13" t="s">
        <v>21</v>
      </c>
      <c r="B6" s="14" t="s">
        <v>22</v>
      </c>
      <c r="C6" s="15" t="n">
        <v>0.68</v>
      </c>
      <c r="D6" s="16" t="s">
        <v>23</v>
      </c>
      <c r="E6" s="17" t="s">
        <v>24</v>
      </c>
    </row>
    <row r="8" customFormat="false" ht="19.5" hidden="false" customHeight="true" outlineLevel="0" collapsed="false">
      <c r="A8" s="8" t="s">
        <v>25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21.75" hidden="false" customHeight="true" outlineLevel="0" collapsed="false">
      <c r="A9" s="18" t="s">
        <v>26</v>
      </c>
      <c r="B9" s="18" t="s">
        <v>27</v>
      </c>
      <c r="C9" s="18" t="s">
        <v>28</v>
      </c>
      <c r="D9" s="18" t="s">
        <v>29</v>
      </c>
      <c r="E9" s="18" t="s">
        <v>30</v>
      </c>
      <c r="F9" s="18" t="s">
        <v>31</v>
      </c>
      <c r="G9" s="18" t="s">
        <v>32</v>
      </c>
    </row>
    <row r="10" customFormat="false" ht="21.75" hidden="false" customHeight="true" outlineLevel="0" collapsed="false">
      <c r="A10" s="19" t="s">
        <v>33</v>
      </c>
      <c r="B10" s="20" t="n">
        <v>-1.42</v>
      </c>
      <c r="C10" s="20" t="n">
        <v>0.18</v>
      </c>
      <c r="D10" s="20" t="n">
        <v>-7.89</v>
      </c>
      <c r="E10" s="19" t="s">
        <v>34</v>
      </c>
      <c r="F10" s="19" t="s">
        <v>35</v>
      </c>
      <c r="G10" s="19" t="s">
        <v>36</v>
      </c>
    </row>
    <row r="11" customFormat="false" ht="21.75" hidden="false" customHeight="true" outlineLevel="0" collapsed="false">
      <c r="A11" s="19" t="s">
        <v>37</v>
      </c>
      <c r="B11" s="20" t="n">
        <v>-0.065</v>
      </c>
      <c r="C11" s="20" t="n">
        <v>0.009</v>
      </c>
      <c r="D11" s="20" t="n">
        <v>-7.22</v>
      </c>
      <c r="E11" s="19" t="s">
        <v>34</v>
      </c>
      <c r="F11" s="19" t="s">
        <v>38</v>
      </c>
      <c r="G11" s="19" t="s">
        <v>36</v>
      </c>
    </row>
    <row r="12" customFormat="false" ht="21.75" hidden="false" customHeight="true" outlineLevel="0" collapsed="false">
      <c r="A12" s="21" t="s">
        <v>39</v>
      </c>
      <c r="B12" s="22" t="n">
        <v>0.038</v>
      </c>
      <c r="C12" s="22" t="n">
        <v>0.014</v>
      </c>
      <c r="D12" s="22" t="n">
        <v>2.71</v>
      </c>
      <c r="E12" s="22" t="n">
        <v>0.007</v>
      </c>
      <c r="F12" s="21" t="s">
        <v>40</v>
      </c>
      <c r="G12" s="21" t="s">
        <v>41</v>
      </c>
    </row>
    <row r="13" customFormat="false" ht="21.75" hidden="false" customHeight="true" outlineLevel="0" collapsed="false">
      <c r="A13" s="23" t="s">
        <v>42</v>
      </c>
      <c r="B13" s="24" t="n">
        <v>0.12</v>
      </c>
      <c r="C13" s="24" t="n">
        <v>0.08</v>
      </c>
      <c r="D13" s="24" t="n">
        <v>1.5</v>
      </c>
      <c r="E13" s="24" t="n">
        <v>0.134</v>
      </c>
      <c r="F13" s="23" t="s">
        <v>43</v>
      </c>
      <c r="G13" s="23" t="s">
        <v>44</v>
      </c>
    </row>
    <row r="14" customFormat="false" ht="21.75" hidden="false" customHeight="true" outlineLevel="0" collapsed="false">
      <c r="A14" s="25" t="s">
        <v>45</v>
      </c>
      <c r="B14" s="26" t="n">
        <v>22.1</v>
      </c>
      <c r="C14" s="26" t="n">
        <v>1.4</v>
      </c>
      <c r="D14" s="26" t="n">
        <v>15.8</v>
      </c>
      <c r="E14" s="25" t="s">
        <v>34</v>
      </c>
      <c r="F14" s="25" t="s">
        <v>46</v>
      </c>
      <c r="G14" s="25" t="s">
        <v>46</v>
      </c>
    </row>
    <row r="17" customFormat="false" ht="19.5" hidden="false" customHeight="true" outlineLevel="0" collapsed="false">
      <c r="A17" s="8" t="s">
        <v>47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21.75" hidden="false" customHeight="true" outlineLevel="0" collapsed="false">
      <c r="A18" s="18" t="s">
        <v>48</v>
      </c>
      <c r="B18" s="18" t="s">
        <v>49</v>
      </c>
      <c r="C18" s="18" t="s">
        <v>50</v>
      </c>
      <c r="D18" s="18" t="s">
        <v>51</v>
      </c>
      <c r="E18" s="18" t="s">
        <v>52</v>
      </c>
      <c r="F18" s="18" t="s">
        <v>53</v>
      </c>
      <c r="G18" s="18" t="s">
        <v>54</v>
      </c>
      <c r="H18" s="18" t="s">
        <v>55</v>
      </c>
    </row>
    <row r="19" customFormat="false" ht="21.75" hidden="false" customHeight="true" outlineLevel="0" collapsed="false">
      <c r="A19" s="27" t="s">
        <v>56</v>
      </c>
      <c r="B19" s="28" t="s">
        <v>57</v>
      </c>
      <c r="C19" s="28" t="s">
        <v>58</v>
      </c>
      <c r="D19" s="28" t="s">
        <v>59</v>
      </c>
      <c r="E19" s="28" t="s">
        <v>60</v>
      </c>
      <c r="F19" s="29" t="n">
        <v>85000</v>
      </c>
      <c r="G19" s="29" t="n">
        <v>180000</v>
      </c>
      <c r="H19" s="28" t="s">
        <v>61</v>
      </c>
    </row>
    <row r="20" customFormat="false" ht="21.75" hidden="false" customHeight="true" outlineLevel="0" collapsed="false">
      <c r="A20" s="30" t="s">
        <v>62</v>
      </c>
      <c r="B20" s="21" t="s">
        <v>63</v>
      </c>
      <c r="C20" s="21" t="s">
        <v>64</v>
      </c>
      <c r="D20" s="21" t="s">
        <v>65</v>
      </c>
      <c r="E20" s="21" t="s">
        <v>66</v>
      </c>
      <c r="F20" s="31" t="n">
        <v>35000</v>
      </c>
      <c r="G20" s="31" t="n">
        <v>140000</v>
      </c>
      <c r="H20" s="21" t="s">
        <v>61</v>
      </c>
    </row>
    <row r="21" customFormat="false" ht="21.75" hidden="false" customHeight="true" outlineLevel="0" collapsed="false">
      <c r="A21" s="32" t="s">
        <v>67</v>
      </c>
      <c r="B21" s="19" t="s">
        <v>68</v>
      </c>
      <c r="C21" s="19" t="s">
        <v>69</v>
      </c>
      <c r="D21" s="19" t="s">
        <v>70</v>
      </c>
      <c r="E21" s="19" t="s">
        <v>71</v>
      </c>
      <c r="F21" s="33" t="n">
        <v>55000</v>
      </c>
      <c r="G21" s="33" t="n">
        <v>100000</v>
      </c>
      <c r="H21" s="19" t="s">
        <v>72</v>
      </c>
    </row>
    <row r="22" customFormat="false" ht="21.75" hidden="false" customHeight="true" outlineLevel="0" collapsed="false">
      <c r="A22" s="34" t="s">
        <v>73</v>
      </c>
      <c r="B22" s="35" t="s">
        <v>74</v>
      </c>
      <c r="C22" s="35" t="s">
        <v>75</v>
      </c>
      <c r="D22" s="35" t="s">
        <v>76</v>
      </c>
      <c r="E22" s="35" t="s">
        <v>77</v>
      </c>
      <c r="F22" s="36" t="n">
        <v>40000</v>
      </c>
      <c r="G22" s="35" t="s">
        <v>78</v>
      </c>
      <c r="H22" s="35" t="s">
        <v>72</v>
      </c>
    </row>
  </sheetData>
  <mergeCells count="5">
    <mergeCell ref="A1:L1"/>
    <mergeCell ref="A2:L2"/>
    <mergeCell ref="A4:J4"/>
    <mergeCell ref="A8:J8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6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9" min="8" style="1" width="12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0"/>
  </cols>
  <sheetData>
    <row r="1" customFormat="false" ht="31.5" hidden="false" customHeight="true" outlineLevel="0" collapsed="false">
      <c r="A1" s="6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80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1.75" hidden="false" customHeight="true" outlineLevel="0" collapsed="false">
      <c r="A4" s="37" t="s">
        <v>81</v>
      </c>
      <c r="B4" s="37" t="s">
        <v>82</v>
      </c>
      <c r="C4" s="37" t="s">
        <v>83</v>
      </c>
      <c r="D4" s="37" t="s">
        <v>84</v>
      </c>
      <c r="E4" s="37" t="s">
        <v>85</v>
      </c>
      <c r="F4" s="37" t="s">
        <v>86</v>
      </c>
      <c r="G4" s="37" t="s">
        <v>87</v>
      </c>
      <c r="H4" s="37" t="s">
        <v>88</v>
      </c>
      <c r="I4" s="37" t="s">
        <v>89</v>
      </c>
      <c r="J4" s="37" t="s">
        <v>90</v>
      </c>
      <c r="K4" s="37" t="s">
        <v>91</v>
      </c>
      <c r="L4" s="37" t="s">
        <v>92</v>
      </c>
      <c r="M4" s="37" t="s">
        <v>93</v>
      </c>
    </row>
    <row r="5" customFormat="false" ht="18" hidden="false" customHeight="true" outlineLevel="0" collapsed="false">
      <c r="A5" s="38" t="s">
        <v>94</v>
      </c>
      <c r="B5" s="38" t="s">
        <v>95</v>
      </c>
      <c r="C5" s="38" t="s">
        <v>96</v>
      </c>
      <c r="D5" s="38" t="n">
        <v>427</v>
      </c>
      <c r="E5" s="39" t="n">
        <v>18.5</v>
      </c>
      <c r="F5" s="39" t="n">
        <v>90.5</v>
      </c>
      <c r="G5" s="39" t="n">
        <v>12.7</v>
      </c>
      <c r="H5" s="39" t="n">
        <v>82.6</v>
      </c>
      <c r="I5" s="38" t="n">
        <v>3.16</v>
      </c>
      <c r="J5" s="39" t="n">
        <v>55</v>
      </c>
      <c r="K5" s="39" t="n">
        <v>81.1</v>
      </c>
      <c r="L5" s="40" t="n">
        <v>17142</v>
      </c>
      <c r="M5" s="38" t="s">
        <v>97</v>
      </c>
    </row>
    <row r="6" customFormat="false" ht="18" hidden="false" customHeight="true" outlineLevel="0" collapsed="false">
      <c r="A6" s="38" t="s">
        <v>98</v>
      </c>
      <c r="B6" s="38" t="s">
        <v>99</v>
      </c>
      <c r="C6" s="38" t="s">
        <v>100</v>
      </c>
      <c r="D6" s="38" t="n">
        <v>112</v>
      </c>
      <c r="E6" s="39" t="n">
        <v>18.6</v>
      </c>
      <c r="F6" s="39" t="n">
        <v>50.7</v>
      </c>
      <c r="G6" s="39" t="n">
        <v>11.6</v>
      </c>
      <c r="H6" s="39" t="n">
        <v>75.5</v>
      </c>
      <c r="I6" s="38" t="n">
        <v>3.32</v>
      </c>
      <c r="J6" s="39" t="n">
        <v>62.4</v>
      </c>
      <c r="K6" s="39" t="n">
        <v>75.2</v>
      </c>
      <c r="L6" s="40" t="n">
        <v>9908</v>
      </c>
      <c r="M6" s="38" t="s">
        <v>97</v>
      </c>
    </row>
    <row r="7" customFormat="false" ht="18" hidden="false" customHeight="true" outlineLevel="0" collapsed="false">
      <c r="A7" s="38" t="s">
        <v>101</v>
      </c>
      <c r="B7" s="38" t="s">
        <v>102</v>
      </c>
      <c r="C7" s="38" t="s">
        <v>103</v>
      </c>
      <c r="D7" s="38" t="n">
        <v>225</v>
      </c>
      <c r="E7" s="39" t="n">
        <v>21.8</v>
      </c>
      <c r="F7" s="39" t="n">
        <v>66.8</v>
      </c>
      <c r="G7" s="39" t="n">
        <v>10.7</v>
      </c>
      <c r="H7" s="39" t="n">
        <v>74.5</v>
      </c>
      <c r="I7" s="38" t="n">
        <v>2.64</v>
      </c>
      <c r="J7" s="39" t="n">
        <v>59.7</v>
      </c>
      <c r="K7" s="39" t="n">
        <v>61.7</v>
      </c>
      <c r="L7" s="40" t="n">
        <v>13900</v>
      </c>
      <c r="M7" s="38" t="s">
        <v>97</v>
      </c>
    </row>
    <row r="8" customFormat="false" ht="18" hidden="false" customHeight="true" outlineLevel="0" collapsed="false">
      <c r="A8" s="38" t="s">
        <v>104</v>
      </c>
      <c r="B8" s="38" t="s">
        <v>105</v>
      </c>
      <c r="C8" s="38" t="s">
        <v>96</v>
      </c>
      <c r="D8" s="38" t="n">
        <v>171</v>
      </c>
      <c r="E8" s="39" t="n">
        <v>13.3</v>
      </c>
      <c r="F8" s="39" t="n">
        <v>67.8</v>
      </c>
      <c r="G8" s="39" t="n">
        <v>10</v>
      </c>
      <c r="H8" s="39" t="n">
        <v>67.5</v>
      </c>
      <c r="I8" s="38" t="n">
        <v>4.31</v>
      </c>
      <c r="J8" s="39" t="n">
        <v>87</v>
      </c>
      <c r="K8" s="39" t="n">
        <v>65.1</v>
      </c>
      <c r="L8" s="40" t="n">
        <v>14669</v>
      </c>
      <c r="M8" s="38" t="s">
        <v>97</v>
      </c>
    </row>
    <row r="9" customFormat="false" ht="18" hidden="false" customHeight="true" outlineLevel="0" collapsed="false">
      <c r="A9" s="38" t="s">
        <v>106</v>
      </c>
      <c r="B9" s="38" t="s">
        <v>107</v>
      </c>
      <c r="C9" s="38" t="s">
        <v>96</v>
      </c>
      <c r="D9" s="38" t="n">
        <v>446</v>
      </c>
      <c r="E9" s="39" t="n">
        <v>21.6</v>
      </c>
      <c r="F9" s="39" t="n">
        <v>75.5</v>
      </c>
      <c r="G9" s="39" t="n">
        <v>13.2</v>
      </c>
      <c r="H9" s="39" t="n">
        <v>72.8</v>
      </c>
      <c r="I9" s="38" t="n">
        <v>2.67</v>
      </c>
      <c r="J9" s="39" t="n">
        <v>70.6</v>
      </c>
      <c r="K9" s="39" t="n">
        <v>46.3</v>
      </c>
      <c r="L9" s="40" t="n">
        <v>17256</v>
      </c>
      <c r="M9" s="38" t="s">
        <v>97</v>
      </c>
    </row>
    <row r="10" customFormat="false" ht="18" hidden="false" customHeight="true" outlineLevel="0" collapsed="false">
      <c r="A10" s="38" t="s">
        <v>108</v>
      </c>
      <c r="B10" s="38" t="s">
        <v>109</v>
      </c>
      <c r="C10" s="38" t="s">
        <v>110</v>
      </c>
      <c r="D10" s="38" t="n">
        <v>402</v>
      </c>
      <c r="E10" s="39" t="n">
        <v>19.9</v>
      </c>
      <c r="F10" s="39" t="n">
        <v>67.2</v>
      </c>
      <c r="G10" s="39" t="n">
        <v>16.4</v>
      </c>
      <c r="H10" s="39" t="n">
        <v>55.7</v>
      </c>
      <c r="I10" s="38" t="n">
        <v>3.13</v>
      </c>
      <c r="J10" s="39" t="n">
        <v>81.7</v>
      </c>
      <c r="K10" s="39" t="n">
        <v>62.2</v>
      </c>
      <c r="L10" s="40" t="n">
        <v>12911</v>
      </c>
      <c r="M10" s="38" t="s">
        <v>97</v>
      </c>
    </row>
    <row r="11" customFormat="false" ht="18" hidden="false" customHeight="true" outlineLevel="0" collapsed="false">
      <c r="A11" s="38" t="s">
        <v>111</v>
      </c>
      <c r="B11" s="38" t="s">
        <v>112</v>
      </c>
      <c r="C11" s="38" t="s">
        <v>113</v>
      </c>
      <c r="D11" s="38" t="n">
        <v>116</v>
      </c>
      <c r="E11" s="39" t="n">
        <v>18</v>
      </c>
      <c r="F11" s="39" t="n">
        <v>63.2</v>
      </c>
      <c r="G11" s="39" t="n">
        <v>11.3</v>
      </c>
      <c r="H11" s="39" t="n">
        <v>66.7</v>
      </c>
      <c r="I11" s="38" t="n">
        <v>4.54</v>
      </c>
      <c r="J11" s="39" t="n">
        <v>84.3</v>
      </c>
      <c r="K11" s="39" t="n">
        <v>70.8</v>
      </c>
      <c r="L11" s="40" t="n">
        <v>10664</v>
      </c>
      <c r="M11" s="38" t="s">
        <v>97</v>
      </c>
    </row>
    <row r="12" customFormat="false" ht="18" hidden="false" customHeight="true" outlineLevel="0" collapsed="false">
      <c r="A12" s="38" t="s">
        <v>114</v>
      </c>
      <c r="B12" s="38" t="s">
        <v>115</v>
      </c>
      <c r="C12" s="38" t="s">
        <v>103</v>
      </c>
      <c r="D12" s="38" t="n">
        <v>147</v>
      </c>
      <c r="E12" s="39" t="n">
        <v>17.7</v>
      </c>
      <c r="F12" s="39" t="n">
        <v>95</v>
      </c>
      <c r="G12" s="39" t="n">
        <v>14.1</v>
      </c>
      <c r="H12" s="39" t="n">
        <v>74.2</v>
      </c>
      <c r="I12" s="38" t="n">
        <v>3.86</v>
      </c>
      <c r="J12" s="39" t="n">
        <v>70.5</v>
      </c>
      <c r="K12" s="39" t="n">
        <v>55.3</v>
      </c>
      <c r="L12" s="40" t="n">
        <v>16475</v>
      </c>
      <c r="M12" s="38" t="s">
        <v>97</v>
      </c>
    </row>
    <row r="13" customFormat="false" ht="18" hidden="false" customHeight="true" outlineLevel="0" collapsed="false">
      <c r="A13" s="41" t="s">
        <v>116</v>
      </c>
      <c r="B13" s="41" t="s">
        <v>117</v>
      </c>
      <c r="C13" s="41" t="s">
        <v>113</v>
      </c>
      <c r="D13" s="41" t="n">
        <v>219</v>
      </c>
      <c r="E13" s="42" t="n">
        <v>14.1</v>
      </c>
      <c r="F13" s="42" t="n">
        <v>83.6</v>
      </c>
      <c r="G13" s="42" t="n">
        <v>9.4</v>
      </c>
      <c r="H13" s="42" t="n">
        <v>83</v>
      </c>
      <c r="I13" s="41" t="n">
        <v>3.92</v>
      </c>
      <c r="J13" s="42" t="n">
        <v>65.4</v>
      </c>
      <c r="K13" s="42" t="n">
        <v>66.2</v>
      </c>
      <c r="L13" s="43" t="n">
        <v>12551</v>
      </c>
      <c r="M13" s="41" t="s">
        <v>118</v>
      </c>
    </row>
    <row r="14" customFormat="false" ht="18" hidden="false" customHeight="true" outlineLevel="0" collapsed="false">
      <c r="A14" s="44" t="s">
        <v>119</v>
      </c>
      <c r="B14" s="44" t="s">
        <v>120</v>
      </c>
      <c r="C14" s="44" t="s">
        <v>103</v>
      </c>
      <c r="D14" s="44" t="n">
        <v>387</v>
      </c>
      <c r="E14" s="45" t="n">
        <v>7.8</v>
      </c>
      <c r="F14" s="45" t="n">
        <v>77.8</v>
      </c>
      <c r="G14" s="45" t="n">
        <v>13.9</v>
      </c>
      <c r="H14" s="45" t="n">
        <v>82.1</v>
      </c>
      <c r="I14" s="44" t="n">
        <v>4.83</v>
      </c>
      <c r="J14" s="45" t="n">
        <v>83.2</v>
      </c>
      <c r="K14" s="45" t="n">
        <v>51.9</v>
      </c>
      <c r="L14" s="46" t="n">
        <v>15086</v>
      </c>
      <c r="M14" s="44" t="s">
        <v>118</v>
      </c>
    </row>
    <row r="15" customFormat="false" ht="18" hidden="false" customHeight="true" outlineLevel="0" collapsed="false">
      <c r="A15" s="41" t="s">
        <v>121</v>
      </c>
      <c r="B15" s="41" t="s">
        <v>122</v>
      </c>
      <c r="C15" s="41" t="s">
        <v>110</v>
      </c>
      <c r="D15" s="41" t="n">
        <v>466</v>
      </c>
      <c r="E15" s="42" t="n">
        <v>10.9</v>
      </c>
      <c r="F15" s="42" t="n">
        <v>69.5</v>
      </c>
      <c r="G15" s="42" t="n">
        <v>15.5</v>
      </c>
      <c r="H15" s="42" t="n">
        <v>68.4</v>
      </c>
      <c r="I15" s="41" t="n">
        <v>2</v>
      </c>
      <c r="J15" s="42" t="n">
        <v>60</v>
      </c>
      <c r="K15" s="42" t="n">
        <v>65.2</v>
      </c>
      <c r="L15" s="43" t="n">
        <v>13778</v>
      </c>
      <c r="M15" s="41" t="s">
        <v>118</v>
      </c>
    </row>
    <row r="16" customFormat="false" ht="18" hidden="false" customHeight="true" outlineLevel="0" collapsed="false">
      <c r="A16" s="44" t="s">
        <v>123</v>
      </c>
      <c r="B16" s="44" t="s">
        <v>124</v>
      </c>
      <c r="C16" s="44" t="s">
        <v>125</v>
      </c>
      <c r="D16" s="44" t="n">
        <v>212</v>
      </c>
      <c r="E16" s="45" t="n">
        <v>17.5</v>
      </c>
      <c r="F16" s="45" t="n">
        <v>79.5</v>
      </c>
      <c r="G16" s="45" t="n">
        <v>14</v>
      </c>
      <c r="H16" s="45" t="n">
        <v>70.6</v>
      </c>
      <c r="I16" s="44" t="n">
        <v>3.93</v>
      </c>
      <c r="J16" s="45" t="n">
        <v>68.9</v>
      </c>
      <c r="K16" s="45" t="n">
        <v>77.2</v>
      </c>
      <c r="L16" s="46" t="n">
        <v>17489</v>
      </c>
      <c r="M16" s="44" t="s">
        <v>118</v>
      </c>
    </row>
    <row r="17" customFormat="false" ht="18" hidden="false" customHeight="true" outlineLevel="0" collapsed="false">
      <c r="A17" s="41" t="s">
        <v>126</v>
      </c>
      <c r="B17" s="41" t="s">
        <v>127</v>
      </c>
      <c r="C17" s="41" t="s">
        <v>100</v>
      </c>
      <c r="D17" s="41" t="n">
        <v>401</v>
      </c>
      <c r="E17" s="42" t="n">
        <v>19.5</v>
      </c>
      <c r="F17" s="42" t="n">
        <v>72.8</v>
      </c>
      <c r="G17" s="42" t="n">
        <v>12.7</v>
      </c>
      <c r="H17" s="42" t="n">
        <v>84.3</v>
      </c>
      <c r="I17" s="41" t="n">
        <v>3.22</v>
      </c>
      <c r="J17" s="42" t="n">
        <v>85.5</v>
      </c>
      <c r="K17" s="42" t="n">
        <v>62.5</v>
      </c>
      <c r="L17" s="43" t="n">
        <v>19600</v>
      </c>
      <c r="M17" s="41" t="s">
        <v>118</v>
      </c>
    </row>
    <row r="18" customFormat="false" ht="18" hidden="false" customHeight="true" outlineLevel="0" collapsed="false">
      <c r="A18" s="44" t="s">
        <v>128</v>
      </c>
      <c r="B18" s="44" t="s">
        <v>129</v>
      </c>
      <c r="C18" s="44" t="s">
        <v>130</v>
      </c>
      <c r="D18" s="44" t="n">
        <v>103</v>
      </c>
      <c r="E18" s="45" t="n">
        <v>19</v>
      </c>
      <c r="F18" s="45" t="n">
        <v>86.8</v>
      </c>
      <c r="G18" s="45" t="n">
        <v>15.9</v>
      </c>
      <c r="H18" s="45" t="n">
        <v>77.2</v>
      </c>
      <c r="I18" s="44" t="n">
        <v>3.28</v>
      </c>
      <c r="J18" s="45" t="n">
        <v>80.9</v>
      </c>
      <c r="K18" s="45" t="n">
        <v>82.7</v>
      </c>
      <c r="L18" s="46" t="n">
        <v>16028</v>
      </c>
      <c r="M18" s="44" t="s">
        <v>118</v>
      </c>
    </row>
    <row r="19" customFormat="false" ht="18" hidden="false" customHeight="true" outlineLevel="0" collapsed="false">
      <c r="A19" s="41" t="s">
        <v>131</v>
      </c>
      <c r="B19" s="41" t="s">
        <v>132</v>
      </c>
      <c r="C19" s="41" t="s">
        <v>110</v>
      </c>
      <c r="D19" s="41" t="n">
        <v>457</v>
      </c>
      <c r="E19" s="42" t="n">
        <v>14.1</v>
      </c>
      <c r="F19" s="42" t="n">
        <v>73.4</v>
      </c>
      <c r="G19" s="42" t="n">
        <v>13</v>
      </c>
      <c r="H19" s="42" t="n">
        <v>56.7</v>
      </c>
      <c r="I19" s="41" t="n">
        <v>4.81</v>
      </c>
      <c r="J19" s="42" t="n">
        <v>81.8</v>
      </c>
      <c r="K19" s="42" t="n">
        <v>70.4</v>
      </c>
      <c r="L19" s="43" t="n">
        <v>16637</v>
      </c>
      <c r="M19" s="41" t="s">
        <v>118</v>
      </c>
    </row>
    <row r="20" customFormat="false" ht="18" hidden="false" customHeight="true" outlineLevel="0" collapsed="false">
      <c r="A20" s="44" t="s">
        <v>133</v>
      </c>
      <c r="B20" s="44" t="s">
        <v>134</v>
      </c>
      <c r="C20" s="44" t="s">
        <v>100</v>
      </c>
      <c r="D20" s="44" t="n">
        <v>274</v>
      </c>
      <c r="E20" s="45" t="n">
        <v>18.2</v>
      </c>
      <c r="F20" s="45" t="n">
        <v>62.8</v>
      </c>
      <c r="G20" s="45" t="n">
        <v>15.7</v>
      </c>
      <c r="H20" s="45" t="n">
        <v>79.2</v>
      </c>
      <c r="I20" s="44" t="n">
        <v>5.11</v>
      </c>
      <c r="J20" s="45" t="n">
        <v>88</v>
      </c>
      <c r="K20" s="45" t="n">
        <v>80.6</v>
      </c>
      <c r="L20" s="46" t="n">
        <v>14502</v>
      </c>
      <c r="M20" s="44" t="s">
        <v>118</v>
      </c>
    </row>
    <row r="21" customFormat="false" ht="18" hidden="false" customHeight="true" outlineLevel="0" collapsed="false">
      <c r="A21" s="41" t="s">
        <v>135</v>
      </c>
      <c r="B21" s="41" t="s">
        <v>136</v>
      </c>
      <c r="C21" s="41" t="s">
        <v>103</v>
      </c>
      <c r="D21" s="41" t="n">
        <v>179</v>
      </c>
      <c r="E21" s="42" t="n">
        <v>12.2</v>
      </c>
      <c r="F21" s="42" t="n">
        <v>76.6</v>
      </c>
      <c r="G21" s="42" t="n">
        <v>12.3</v>
      </c>
      <c r="H21" s="42" t="n">
        <v>60.4</v>
      </c>
      <c r="I21" s="41" t="n">
        <v>5.78</v>
      </c>
      <c r="J21" s="42" t="n">
        <v>85.8</v>
      </c>
      <c r="K21" s="42" t="n">
        <v>68.3</v>
      </c>
      <c r="L21" s="43" t="n">
        <v>9462</v>
      </c>
      <c r="M21" s="41" t="s">
        <v>118</v>
      </c>
    </row>
    <row r="22" customFormat="false" ht="18" hidden="false" customHeight="true" outlineLevel="0" collapsed="false">
      <c r="A22" s="44" t="s">
        <v>137</v>
      </c>
      <c r="B22" s="44" t="s">
        <v>138</v>
      </c>
      <c r="C22" s="44" t="s">
        <v>139</v>
      </c>
      <c r="D22" s="44" t="n">
        <v>490</v>
      </c>
      <c r="E22" s="45" t="n">
        <v>11.8</v>
      </c>
      <c r="F22" s="45" t="n">
        <v>76.4</v>
      </c>
      <c r="G22" s="45" t="n">
        <v>11.4</v>
      </c>
      <c r="H22" s="45" t="n">
        <v>53.5</v>
      </c>
      <c r="I22" s="44" t="n">
        <v>4.44</v>
      </c>
      <c r="J22" s="45" t="n">
        <v>71.8</v>
      </c>
      <c r="K22" s="45" t="n">
        <v>67.2</v>
      </c>
      <c r="L22" s="46" t="n">
        <v>10516</v>
      </c>
      <c r="M22" s="44" t="s">
        <v>118</v>
      </c>
    </row>
    <row r="23" customFormat="false" ht="18" hidden="false" customHeight="true" outlineLevel="0" collapsed="false">
      <c r="A23" s="41" t="s">
        <v>140</v>
      </c>
      <c r="B23" s="41" t="s">
        <v>141</v>
      </c>
      <c r="C23" s="41" t="s">
        <v>96</v>
      </c>
      <c r="D23" s="41" t="n">
        <v>152</v>
      </c>
      <c r="E23" s="42" t="n">
        <v>15.6</v>
      </c>
      <c r="F23" s="42" t="n">
        <v>62.3</v>
      </c>
      <c r="G23" s="42" t="n">
        <v>11.5</v>
      </c>
      <c r="H23" s="42" t="n">
        <v>80.8</v>
      </c>
      <c r="I23" s="41" t="n">
        <v>5.32</v>
      </c>
      <c r="J23" s="42" t="n">
        <v>72.2</v>
      </c>
      <c r="K23" s="42" t="n">
        <v>40</v>
      </c>
      <c r="L23" s="43" t="n">
        <v>16917</v>
      </c>
      <c r="M23" s="41" t="s">
        <v>118</v>
      </c>
    </row>
    <row r="24" customFormat="false" ht="18" hidden="false" customHeight="true" outlineLevel="0" collapsed="false">
      <c r="A24" s="44" t="s">
        <v>142</v>
      </c>
      <c r="B24" s="44" t="s">
        <v>143</v>
      </c>
      <c r="C24" s="44" t="s">
        <v>96</v>
      </c>
      <c r="D24" s="44" t="n">
        <v>294</v>
      </c>
      <c r="E24" s="45" t="n">
        <v>11.5</v>
      </c>
      <c r="F24" s="45" t="n">
        <v>59.5</v>
      </c>
      <c r="G24" s="45" t="n">
        <v>13.8</v>
      </c>
      <c r="H24" s="45" t="n">
        <v>47.7</v>
      </c>
      <c r="I24" s="44" t="n">
        <v>4.84</v>
      </c>
      <c r="J24" s="45" t="n">
        <v>86.7</v>
      </c>
      <c r="K24" s="45" t="n">
        <v>78</v>
      </c>
      <c r="L24" s="46" t="n">
        <v>15171</v>
      </c>
      <c r="M24" s="44" t="s">
        <v>118</v>
      </c>
    </row>
    <row r="25" customFormat="false" ht="18" hidden="false" customHeight="true" outlineLevel="0" collapsed="false">
      <c r="A25" s="41" t="s">
        <v>144</v>
      </c>
      <c r="B25" s="41" t="s">
        <v>145</v>
      </c>
      <c r="C25" s="41" t="s">
        <v>139</v>
      </c>
      <c r="D25" s="41" t="n">
        <v>283</v>
      </c>
      <c r="E25" s="42" t="n">
        <v>14.1</v>
      </c>
      <c r="F25" s="42" t="n">
        <v>67.6</v>
      </c>
      <c r="G25" s="42" t="n">
        <v>9.3</v>
      </c>
      <c r="H25" s="42" t="n">
        <v>94.1</v>
      </c>
      <c r="I25" s="41" t="n">
        <v>3.8</v>
      </c>
      <c r="J25" s="42" t="n">
        <v>61.1</v>
      </c>
      <c r="K25" s="42" t="n">
        <v>70.9</v>
      </c>
      <c r="L25" s="43" t="n">
        <v>16348</v>
      </c>
      <c r="M25" s="41" t="s">
        <v>118</v>
      </c>
    </row>
    <row r="26" customFormat="false" ht="18" hidden="false" customHeight="true" outlineLevel="0" collapsed="false">
      <c r="A26" s="44" t="s">
        <v>146</v>
      </c>
      <c r="B26" s="44" t="s">
        <v>147</v>
      </c>
      <c r="C26" s="44" t="s">
        <v>100</v>
      </c>
      <c r="D26" s="44" t="n">
        <v>409</v>
      </c>
      <c r="E26" s="45" t="n">
        <v>17.8</v>
      </c>
      <c r="F26" s="45" t="n">
        <v>69.9</v>
      </c>
      <c r="G26" s="45" t="n">
        <v>11.5</v>
      </c>
      <c r="H26" s="45" t="n">
        <v>59.2</v>
      </c>
      <c r="I26" s="44" t="n">
        <v>3.97</v>
      </c>
      <c r="J26" s="45" t="n">
        <v>86.1</v>
      </c>
      <c r="K26" s="45" t="n">
        <v>71.3</v>
      </c>
      <c r="L26" s="46" t="n">
        <v>13325</v>
      </c>
      <c r="M26" s="44" t="s">
        <v>118</v>
      </c>
    </row>
    <row r="27" customFormat="false" ht="18" hidden="false" customHeight="true" outlineLevel="0" collapsed="false">
      <c r="A27" s="41" t="s">
        <v>148</v>
      </c>
      <c r="B27" s="41" t="s">
        <v>149</v>
      </c>
      <c r="C27" s="41" t="s">
        <v>125</v>
      </c>
      <c r="D27" s="41" t="n">
        <v>122</v>
      </c>
      <c r="E27" s="42" t="n">
        <v>15</v>
      </c>
      <c r="F27" s="42" t="n">
        <v>65</v>
      </c>
      <c r="G27" s="42" t="n">
        <v>6.6</v>
      </c>
      <c r="H27" s="42" t="n">
        <v>62.6</v>
      </c>
      <c r="I27" s="41" t="n">
        <v>2</v>
      </c>
      <c r="J27" s="42" t="n">
        <v>70.3</v>
      </c>
      <c r="K27" s="42" t="n">
        <v>76.9</v>
      </c>
      <c r="L27" s="43" t="n">
        <v>17660</v>
      </c>
      <c r="M27" s="41" t="s">
        <v>118</v>
      </c>
    </row>
    <row r="28" customFormat="false" ht="18" hidden="false" customHeight="true" outlineLevel="0" collapsed="false">
      <c r="A28" s="44" t="s">
        <v>150</v>
      </c>
      <c r="B28" s="44" t="s">
        <v>151</v>
      </c>
      <c r="C28" s="44" t="s">
        <v>96</v>
      </c>
      <c r="D28" s="44" t="n">
        <v>374</v>
      </c>
      <c r="E28" s="45" t="n">
        <v>16.2</v>
      </c>
      <c r="F28" s="45" t="n">
        <v>72.3</v>
      </c>
      <c r="G28" s="45" t="n">
        <v>9.4</v>
      </c>
      <c r="H28" s="45" t="n">
        <v>55.9</v>
      </c>
      <c r="I28" s="44" t="n">
        <v>4.01</v>
      </c>
      <c r="J28" s="45" t="n">
        <v>61.9</v>
      </c>
      <c r="K28" s="45" t="n">
        <v>60.5</v>
      </c>
      <c r="L28" s="46" t="n">
        <v>14643</v>
      </c>
      <c r="M28" s="44" t="s">
        <v>118</v>
      </c>
    </row>
    <row r="29" customFormat="false" ht="18" hidden="false" customHeight="true" outlineLevel="0" collapsed="false">
      <c r="A29" s="41" t="s">
        <v>152</v>
      </c>
      <c r="B29" s="41" t="s">
        <v>153</v>
      </c>
      <c r="C29" s="41" t="s">
        <v>96</v>
      </c>
      <c r="D29" s="41" t="n">
        <v>293</v>
      </c>
      <c r="E29" s="42" t="n">
        <v>11.8</v>
      </c>
      <c r="F29" s="42" t="n">
        <v>55.6</v>
      </c>
      <c r="G29" s="42" t="n">
        <v>11.5</v>
      </c>
      <c r="H29" s="42" t="n">
        <v>57.6</v>
      </c>
      <c r="I29" s="41" t="n">
        <v>4.67</v>
      </c>
      <c r="J29" s="42" t="n">
        <v>92.1</v>
      </c>
      <c r="K29" s="42" t="n">
        <v>81.1</v>
      </c>
      <c r="L29" s="43" t="n">
        <v>15897</v>
      </c>
      <c r="M29" s="41" t="s">
        <v>118</v>
      </c>
    </row>
    <row r="30" customFormat="false" ht="18" hidden="false" customHeight="true" outlineLevel="0" collapsed="false">
      <c r="A30" s="44" t="s">
        <v>154</v>
      </c>
      <c r="B30" s="44" t="s">
        <v>155</v>
      </c>
      <c r="C30" s="44" t="s">
        <v>100</v>
      </c>
      <c r="D30" s="44" t="n">
        <v>382</v>
      </c>
      <c r="E30" s="45" t="n">
        <v>18.9</v>
      </c>
      <c r="F30" s="45" t="n">
        <v>63.2</v>
      </c>
      <c r="G30" s="45" t="n">
        <v>10.6</v>
      </c>
      <c r="H30" s="45" t="n">
        <v>70</v>
      </c>
      <c r="I30" s="44" t="n">
        <v>3.84</v>
      </c>
      <c r="J30" s="45" t="n">
        <v>76</v>
      </c>
      <c r="K30" s="45" t="n">
        <v>67.5</v>
      </c>
      <c r="L30" s="46" t="n">
        <v>13661</v>
      </c>
      <c r="M30" s="44" t="s">
        <v>118</v>
      </c>
    </row>
    <row r="31" customFormat="false" ht="18" hidden="false" customHeight="true" outlineLevel="0" collapsed="false">
      <c r="A31" s="41" t="s">
        <v>156</v>
      </c>
      <c r="B31" s="41" t="s">
        <v>157</v>
      </c>
      <c r="C31" s="41" t="s">
        <v>139</v>
      </c>
      <c r="D31" s="41" t="n">
        <v>421</v>
      </c>
      <c r="E31" s="42" t="n">
        <v>13.1</v>
      </c>
      <c r="F31" s="42" t="n">
        <v>78.7</v>
      </c>
      <c r="G31" s="42" t="n">
        <v>11.5</v>
      </c>
      <c r="H31" s="42" t="n">
        <v>53.6</v>
      </c>
      <c r="I31" s="41" t="n">
        <v>4.09</v>
      </c>
      <c r="J31" s="42" t="n">
        <v>65.5</v>
      </c>
      <c r="K31" s="42" t="n">
        <v>89.3</v>
      </c>
      <c r="L31" s="43" t="n">
        <v>15659</v>
      </c>
      <c r="M31" s="41" t="s">
        <v>118</v>
      </c>
    </row>
    <row r="32" customFormat="false" ht="18" hidden="false" customHeight="true" outlineLevel="0" collapsed="false">
      <c r="A32" s="44" t="s">
        <v>158</v>
      </c>
      <c r="B32" s="44" t="s">
        <v>159</v>
      </c>
      <c r="C32" s="44" t="s">
        <v>103</v>
      </c>
      <c r="D32" s="44" t="n">
        <v>395</v>
      </c>
      <c r="E32" s="45" t="n">
        <v>18.6</v>
      </c>
      <c r="F32" s="45" t="n">
        <v>73</v>
      </c>
      <c r="G32" s="45" t="n">
        <v>14.3</v>
      </c>
      <c r="H32" s="45" t="n">
        <v>76.4</v>
      </c>
      <c r="I32" s="44" t="n">
        <v>4.7</v>
      </c>
      <c r="J32" s="45" t="n">
        <v>49.6</v>
      </c>
      <c r="K32" s="45" t="n">
        <v>74.4</v>
      </c>
      <c r="L32" s="46" t="n">
        <v>18854</v>
      </c>
      <c r="M32" s="44" t="s">
        <v>118</v>
      </c>
    </row>
    <row r="33" customFormat="false" ht="18" hidden="false" customHeight="true" outlineLevel="0" collapsed="false">
      <c r="A33" s="41" t="s">
        <v>160</v>
      </c>
      <c r="B33" s="41" t="s">
        <v>161</v>
      </c>
      <c r="C33" s="41" t="s">
        <v>96</v>
      </c>
      <c r="D33" s="41" t="n">
        <v>460</v>
      </c>
      <c r="E33" s="42" t="n">
        <v>14.5</v>
      </c>
      <c r="F33" s="42" t="n">
        <v>82.5</v>
      </c>
      <c r="G33" s="42" t="n">
        <v>10.8</v>
      </c>
      <c r="H33" s="42" t="n">
        <v>64.6</v>
      </c>
      <c r="I33" s="41" t="n">
        <v>4.82</v>
      </c>
      <c r="J33" s="42" t="n">
        <v>54.2</v>
      </c>
      <c r="K33" s="42" t="n">
        <v>92.1</v>
      </c>
      <c r="L33" s="43" t="n">
        <v>13619</v>
      </c>
      <c r="M33" s="41" t="s">
        <v>118</v>
      </c>
    </row>
    <row r="34" customFormat="false" ht="18" hidden="false" customHeight="true" outlineLevel="0" collapsed="false">
      <c r="A34" s="44" t="s">
        <v>162</v>
      </c>
      <c r="B34" s="44" t="s">
        <v>163</v>
      </c>
      <c r="C34" s="44" t="s">
        <v>103</v>
      </c>
      <c r="D34" s="44" t="n">
        <v>123</v>
      </c>
      <c r="E34" s="45" t="n">
        <v>18.7</v>
      </c>
      <c r="F34" s="45" t="n">
        <v>66.6</v>
      </c>
      <c r="G34" s="45" t="n">
        <v>13.9</v>
      </c>
      <c r="H34" s="45" t="n">
        <v>63.4</v>
      </c>
      <c r="I34" s="44" t="n">
        <v>2.82</v>
      </c>
      <c r="J34" s="45" t="n">
        <v>68.1</v>
      </c>
      <c r="K34" s="45" t="n">
        <v>70.6</v>
      </c>
      <c r="L34" s="46" t="n">
        <v>16036</v>
      </c>
      <c r="M34" s="44" t="s">
        <v>118</v>
      </c>
    </row>
    <row r="35" customFormat="false" ht="18" hidden="false" customHeight="true" outlineLevel="0" collapsed="false">
      <c r="A35" s="41" t="s">
        <v>164</v>
      </c>
      <c r="B35" s="41" t="s">
        <v>165</v>
      </c>
      <c r="C35" s="41" t="s">
        <v>100</v>
      </c>
      <c r="D35" s="41" t="n">
        <v>495</v>
      </c>
      <c r="E35" s="42" t="n">
        <v>12</v>
      </c>
      <c r="F35" s="42" t="n">
        <v>76.7</v>
      </c>
      <c r="G35" s="42" t="n">
        <v>11.4</v>
      </c>
      <c r="H35" s="42" t="n">
        <v>46.2</v>
      </c>
      <c r="I35" s="41" t="n">
        <v>5.09</v>
      </c>
      <c r="J35" s="42" t="n">
        <v>89.1</v>
      </c>
      <c r="K35" s="42" t="n">
        <v>67.7</v>
      </c>
      <c r="L35" s="43" t="n">
        <v>13901</v>
      </c>
      <c r="M35" s="41" t="s">
        <v>118</v>
      </c>
    </row>
    <row r="36" customFormat="false" ht="18" hidden="false" customHeight="true" outlineLevel="0" collapsed="false">
      <c r="A36" s="44" t="s">
        <v>166</v>
      </c>
      <c r="B36" s="44" t="s">
        <v>167</v>
      </c>
      <c r="C36" s="44" t="s">
        <v>103</v>
      </c>
      <c r="D36" s="44" t="n">
        <v>140</v>
      </c>
      <c r="E36" s="45" t="n">
        <v>12.8</v>
      </c>
      <c r="F36" s="45" t="n">
        <v>75.4</v>
      </c>
      <c r="G36" s="45" t="n">
        <v>10.5</v>
      </c>
      <c r="H36" s="45" t="n">
        <v>77.1</v>
      </c>
      <c r="I36" s="44" t="n">
        <v>4.07</v>
      </c>
      <c r="J36" s="45" t="n">
        <v>55.8</v>
      </c>
      <c r="K36" s="45" t="n">
        <v>80.2</v>
      </c>
      <c r="L36" s="46" t="n">
        <v>16006</v>
      </c>
      <c r="M36" s="44" t="s">
        <v>118</v>
      </c>
    </row>
    <row r="37" customFormat="false" ht="18" hidden="false" customHeight="true" outlineLevel="0" collapsed="false">
      <c r="A37" s="41" t="s">
        <v>168</v>
      </c>
      <c r="B37" s="41" t="s">
        <v>169</v>
      </c>
      <c r="C37" s="41" t="s">
        <v>110</v>
      </c>
      <c r="D37" s="41" t="n">
        <v>151</v>
      </c>
      <c r="E37" s="42" t="n">
        <v>8.6</v>
      </c>
      <c r="F37" s="42" t="n">
        <v>73.7</v>
      </c>
      <c r="G37" s="42" t="n">
        <v>13.4</v>
      </c>
      <c r="H37" s="42" t="n">
        <v>67</v>
      </c>
      <c r="I37" s="41" t="n">
        <v>3.77</v>
      </c>
      <c r="J37" s="42" t="n">
        <v>91.2</v>
      </c>
      <c r="K37" s="42" t="n">
        <v>64.1</v>
      </c>
      <c r="L37" s="43" t="n">
        <v>20078</v>
      </c>
      <c r="M37" s="41" t="s">
        <v>118</v>
      </c>
    </row>
    <row r="38" customFormat="false" ht="18" hidden="false" customHeight="true" outlineLevel="0" collapsed="false">
      <c r="A38" s="44" t="s">
        <v>170</v>
      </c>
      <c r="B38" s="44" t="s">
        <v>171</v>
      </c>
      <c r="C38" s="44" t="s">
        <v>125</v>
      </c>
      <c r="D38" s="44" t="n">
        <v>242</v>
      </c>
      <c r="E38" s="45" t="n">
        <v>12.2</v>
      </c>
      <c r="F38" s="45" t="n">
        <v>80.5</v>
      </c>
      <c r="G38" s="45" t="n">
        <v>16.5</v>
      </c>
      <c r="H38" s="45" t="n">
        <v>53.9</v>
      </c>
      <c r="I38" s="44" t="n">
        <v>4.63</v>
      </c>
      <c r="J38" s="45" t="n">
        <v>63.9</v>
      </c>
      <c r="K38" s="45" t="n">
        <v>81.6</v>
      </c>
      <c r="L38" s="46" t="n">
        <v>19095</v>
      </c>
      <c r="M38" s="44" t="s">
        <v>118</v>
      </c>
    </row>
    <row r="39" customFormat="false" ht="18" hidden="false" customHeight="true" outlineLevel="0" collapsed="false">
      <c r="A39" s="41" t="s">
        <v>172</v>
      </c>
      <c r="B39" s="41" t="s">
        <v>173</v>
      </c>
      <c r="C39" s="41" t="s">
        <v>139</v>
      </c>
      <c r="D39" s="41" t="n">
        <v>425</v>
      </c>
      <c r="E39" s="42" t="n">
        <v>20.2</v>
      </c>
      <c r="F39" s="42" t="n">
        <v>81.2</v>
      </c>
      <c r="G39" s="42" t="n">
        <v>11.2</v>
      </c>
      <c r="H39" s="42" t="n">
        <v>75.9</v>
      </c>
      <c r="I39" s="41" t="n">
        <v>6.57</v>
      </c>
      <c r="J39" s="42" t="n">
        <v>91.6</v>
      </c>
      <c r="K39" s="42" t="n">
        <v>98</v>
      </c>
      <c r="L39" s="43" t="n">
        <v>18229</v>
      </c>
      <c r="M39" s="41" t="s">
        <v>118</v>
      </c>
    </row>
    <row r="40" customFormat="false" ht="18" hidden="false" customHeight="true" outlineLevel="0" collapsed="false">
      <c r="A40" s="44" t="s">
        <v>174</v>
      </c>
      <c r="B40" s="44" t="s">
        <v>175</v>
      </c>
      <c r="C40" s="44" t="s">
        <v>139</v>
      </c>
      <c r="D40" s="44" t="n">
        <v>183</v>
      </c>
      <c r="E40" s="45" t="n">
        <v>10.7</v>
      </c>
      <c r="F40" s="45" t="n">
        <v>69.7</v>
      </c>
      <c r="G40" s="45" t="n">
        <v>13.8</v>
      </c>
      <c r="H40" s="45" t="n">
        <v>57.9</v>
      </c>
      <c r="I40" s="44" t="n">
        <v>4.84</v>
      </c>
      <c r="J40" s="45" t="n">
        <v>47.4</v>
      </c>
      <c r="K40" s="45" t="n">
        <v>71.4</v>
      </c>
      <c r="L40" s="46" t="n">
        <v>16476</v>
      </c>
      <c r="M40" s="44" t="s">
        <v>118</v>
      </c>
    </row>
    <row r="41" customFormat="false" ht="18" hidden="false" customHeight="true" outlineLevel="0" collapsed="false">
      <c r="A41" s="41" t="s">
        <v>176</v>
      </c>
      <c r="B41" s="41" t="s">
        <v>177</v>
      </c>
      <c r="C41" s="41" t="s">
        <v>103</v>
      </c>
      <c r="D41" s="41" t="n">
        <v>281</v>
      </c>
      <c r="E41" s="42" t="n">
        <v>8.6</v>
      </c>
      <c r="F41" s="42" t="n">
        <v>77.2</v>
      </c>
      <c r="G41" s="42" t="n">
        <v>14.3</v>
      </c>
      <c r="H41" s="42" t="n">
        <v>78.7</v>
      </c>
      <c r="I41" s="41" t="n">
        <v>2.76</v>
      </c>
      <c r="J41" s="42" t="n">
        <v>54.6</v>
      </c>
      <c r="K41" s="42" t="n">
        <v>86.2</v>
      </c>
      <c r="L41" s="43" t="n">
        <v>18302</v>
      </c>
      <c r="M41" s="41" t="s">
        <v>118</v>
      </c>
    </row>
    <row r="42" customFormat="false" ht="18" hidden="false" customHeight="true" outlineLevel="0" collapsed="false">
      <c r="A42" s="44" t="s">
        <v>178</v>
      </c>
      <c r="B42" s="44" t="s">
        <v>179</v>
      </c>
      <c r="C42" s="44" t="s">
        <v>100</v>
      </c>
      <c r="D42" s="44" t="n">
        <v>443</v>
      </c>
      <c r="E42" s="45" t="n">
        <v>11.3</v>
      </c>
      <c r="F42" s="45" t="n">
        <v>60.5</v>
      </c>
      <c r="G42" s="45" t="n">
        <v>14.6</v>
      </c>
      <c r="H42" s="45" t="n">
        <v>47.1</v>
      </c>
      <c r="I42" s="44" t="n">
        <v>4.85</v>
      </c>
      <c r="J42" s="45" t="n">
        <v>51.7</v>
      </c>
      <c r="K42" s="45" t="n">
        <v>55.4</v>
      </c>
      <c r="L42" s="46" t="n">
        <v>14953</v>
      </c>
      <c r="M42" s="44" t="s">
        <v>118</v>
      </c>
    </row>
    <row r="43" customFormat="false" ht="18" hidden="false" customHeight="true" outlineLevel="0" collapsed="false">
      <c r="A43" s="41" t="s">
        <v>180</v>
      </c>
      <c r="B43" s="41" t="s">
        <v>181</v>
      </c>
      <c r="C43" s="41" t="s">
        <v>96</v>
      </c>
      <c r="D43" s="41" t="n">
        <v>459</v>
      </c>
      <c r="E43" s="42" t="n">
        <v>16.8</v>
      </c>
      <c r="F43" s="42" t="n">
        <v>78.7</v>
      </c>
      <c r="G43" s="42" t="n">
        <v>12.5</v>
      </c>
      <c r="H43" s="42" t="n">
        <v>58.9</v>
      </c>
      <c r="I43" s="41" t="n">
        <v>3.5</v>
      </c>
      <c r="J43" s="42" t="n">
        <v>77.7</v>
      </c>
      <c r="K43" s="42" t="n">
        <v>80.6</v>
      </c>
      <c r="L43" s="43" t="n">
        <v>11715</v>
      </c>
      <c r="M43" s="41" t="s">
        <v>118</v>
      </c>
    </row>
    <row r="44" customFormat="false" ht="18" hidden="false" customHeight="true" outlineLevel="0" collapsed="false">
      <c r="A44" s="44" t="s">
        <v>182</v>
      </c>
      <c r="B44" s="44" t="s">
        <v>183</v>
      </c>
      <c r="C44" s="44" t="s">
        <v>130</v>
      </c>
      <c r="D44" s="44" t="n">
        <v>411</v>
      </c>
      <c r="E44" s="45" t="n">
        <v>12.4</v>
      </c>
      <c r="F44" s="45" t="n">
        <v>66.7</v>
      </c>
      <c r="G44" s="45" t="n">
        <v>12.2</v>
      </c>
      <c r="H44" s="45" t="n">
        <v>57.7</v>
      </c>
      <c r="I44" s="44" t="n">
        <v>4.19</v>
      </c>
      <c r="J44" s="45" t="n">
        <v>77</v>
      </c>
      <c r="K44" s="45" t="n">
        <v>78.2</v>
      </c>
      <c r="L44" s="46" t="n">
        <v>15975</v>
      </c>
      <c r="M44" s="44" t="s">
        <v>118</v>
      </c>
    </row>
    <row r="45" customFormat="false" ht="18" hidden="false" customHeight="true" outlineLevel="0" collapsed="false">
      <c r="A45" s="41" t="s">
        <v>184</v>
      </c>
      <c r="B45" s="41" t="s">
        <v>185</v>
      </c>
      <c r="C45" s="41" t="s">
        <v>103</v>
      </c>
      <c r="D45" s="41" t="n">
        <v>373</v>
      </c>
      <c r="E45" s="42" t="n">
        <v>10.5</v>
      </c>
      <c r="F45" s="42" t="n">
        <v>72.6</v>
      </c>
      <c r="G45" s="42" t="n">
        <v>13.1</v>
      </c>
      <c r="H45" s="42" t="n">
        <v>60.5</v>
      </c>
      <c r="I45" s="41" t="n">
        <v>3.85</v>
      </c>
      <c r="J45" s="42" t="n">
        <v>93.6</v>
      </c>
      <c r="K45" s="42" t="n">
        <v>48.4</v>
      </c>
      <c r="L45" s="43" t="n">
        <v>21448</v>
      </c>
      <c r="M45" s="41" t="s">
        <v>118</v>
      </c>
    </row>
    <row r="46" customFormat="false" ht="18" hidden="false" customHeight="true" outlineLevel="0" collapsed="false">
      <c r="A46" s="44" t="s">
        <v>186</v>
      </c>
      <c r="B46" s="44" t="s">
        <v>187</v>
      </c>
      <c r="C46" s="44" t="s">
        <v>125</v>
      </c>
      <c r="D46" s="44" t="n">
        <v>183</v>
      </c>
      <c r="E46" s="45" t="n">
        <v>18.4</v>
      </c>
      <c r="F46" s="45" t="n">
        <v>69.3</v>
      </c>
      <c r="G46" s="45" t="n">
        <v>16.1</v>
      </c>
      <c r="H46" s="45" t="n">
        <v>57.5</v>
      </c>
      <c r="I46" s="44" t="n">
        <v>4.68</v>
      </c>
      <c r="J46" s="45" t="n">
        <v>54.6</v>
      </c>
      <c r="K46" s="45" t="n">
        <v>91</v>
      </c>
      <c r="L46" s="46" t="n">
        <v>12474</v>
      </c>
      <c r="M46" s="44" t="s">
        <v>118</v>
      </c>
    </row>
    <row r="47" customFormat="false" ht="18" hidden="false" customHeight="true" outlineLevel="0" collapsed="false">
      <c r="A47" s="41" t="s">
        <v>188</v>
      </c>
      <c r="B47" s="41" t="s">
        <v>189</v>
      </c>
      <c r="C47" s="41" t="s">
        <v>100</v>
      </c>
      <c r="D47" s="41" t="n">
        <v>294</v>
      </c>
      <c r="E47" s="42" t="n">
        <v>17.3</v>
      </c>
      <c r="F47" s="42" t="n">
        <v>74</v>
      </c>
      <c r="G47" s="42" t="n">
        <v>11.1</v>
      </c>
      <c r="H47" s="42" t="n">
        <v>62.2</v>
      </c>
      <c r="I47" s="41" t="n">
        <v>6.49</v>
      </c>
      <c r="J47" s="42" t="n">
        <v>64.8</v>
      </c>
      <c r="K47" s="42" t="n">
        <v>78.6</v>
      </c>
      <c r="L47" s="43" t="n">
        <v>16727</v>
      </c>
      <c r="M47" s="41" t="s">
        <v>118</v>
      </c>
    </row>
    <row r="48" customFormat="false" ht="18" hidden="false" customHeight="true" outlineLevel="0" collapsed="false">
      <c r="A48" s="44" t="s">
        <v>190</v>
      </c>
      <c r="B48" s="44" t="s">
        <v>191</v>
      </c>
      <c r="C48" s="44" t="s">
        <v>103</v>
      </c>
      <c r="D48" s="44" t="n">
        <v>427</v>
      </c>
      <c r="E48" s="45" t="n">
        <v>18.2</v>
      </c>
      <c r="F48" s="45" t="n">
        <v>82.1</v>
      </c>
      <c r="G48" s="45" t="n">
        <v>9.3</v>
      </c>
      <c r="H48" s="45" t="n">
        <v>68.1</v>
      </c>
      <c r="I48" s="44" t="n">
        <v>4.82</v>
      </c>
      <c r="J48" s="45" t="n">
        <v>78.6</v>
      </c>
      <c r="K48" s="45" t="n">
        <v>64</v>
      </c>
      <c r="L48" s="46" t="n">
        <v>13074</v>
      </c>
      <c r="M48" s="44" t="s">
        <v>118</v>
      </c>
    </row>
    <row r="49" customFormat="false" ht="18" hidden="false" customHeight="true" outlineLevel="0" collapsed="false">
      <c r="A49" s="41" t="s">
        <v>192</v>
      </c>
      <c r="B49" s="41" t="s">
        <v>193</v>
      </c>
      <c r="C49" s="41" t="s">
        <v>139</v>
      </c>
      <c r="D49" s="41" t="n">
        <v>450</v>
      </c>
      <c r="E49" s="42" t="n">
        <v>14.4</v>
      </c>
      <c r="F49" s="42" t="n">
        <v>62</v>
      </c>
      <c r="G49" s="42" t="n">
        <v>12</v>
      </c>
      <c r="H49" s="42" t="n">
        <v>74.7</v>
      </c>
      <c r="I49" s="41" t="n">
        <v>4.71</v>
      </c>
      <c r="J49" s="42" t="n">
        <v>81.4</v>
      </c>
      <c r="K49" s="42" t="n">
        <v>61.5</v>
      </c>
      <c r="L49" s="43" t="n">
        <v>9327</v>
      </c>
      <c r="M49" s="41" t="s">
        <v>118</v>
      </c>
    </row>
    <row r="50" customFormat="false" ht="18" hidden="false" customHeight="true" outlineLevel="0" collapsed="false">
      <c r="A50" s="44" t="s">
        <v>194</v>
      </c>
      <c r="B50" s="44" t="s">
        <v>195</v>
      </c>
      <c r="C50" s="44" t="s">
        <v>113</v>
      </c>
      <c r="D50" s="44" t="n">
        <v>493</v>
      </c>
      <c r="E50" s="45" t="n">
        <v>15.6</v>
      </c>
      <c r="F50" s="45" t="n">
        <v>65.7</v>
      </c>
      <c r="G50" s="45" t="n">
        <v>13</v>
      </c>
      <c r="H50" s="45" t="n">
        <v>85.5</v>
      </c>
      <c r="I50" s="44" t="n">
        <v>4.39</v>
      </c>
      <c r="J50" s="45" t="n">
        <v>71</v>
      </c>
      <c r="K50" s="45" t="n">
        <v>63.3</v>
      </c>
      <c r="L50" s="46" t="n">
        <v>11511</v>
      </c>
      <c r="M50" s="44" t="s">
        <v>118</v>
      </c>
    </row>
    <row r="51" customFormat="false" ht="18" hidden="false" customHeight="true" outlineLevel="0" collapsed="false">
      <c r="A51" s="41" t="s">
        <v>196</v>
      </c>
      <c r="B51" s="41" t="s">
        <v>197</v>
      </c>
      <c r="C51" s="41" t="s">
        <v>113</v>
      </c>
      <c r="D51" s="41" t="n">
        <v>217</v>
      </c>
      <c r="E51" s="42" t="n">
        <v>18.7</v>
      </c>
      <c r="F51" s="42" t="n">
        <v>50.2</v>
      </c>
      <c r="G51" s="42" t="n">
        <v>11.6</v>
      </c>
      <c r="H51" s="42" t="n">
        <v>81.2</v>
      </c>
      <c r="I51" s="41" t="n">
        <v>3.29</v>
      </c>
      <c r="J51" s="42" t="n">
        <v>73.2</v>
      </c>
      <c r="K51" s="42" t="n">
        <v>68.8</v>
      </c>
      <c r="L51" s="43" t="n">
        <v>16356</v>
      </c>
      <c r="M51" s="41" t="s">
        <v>118</v>
      </c>
    </row>
    <row r="52" customFormat="false" ht="18" hidden="false" customHeight="true" outlineLevel="0" collapsed="false">
      <c r="A52" s="44" t="s">
        <v>198</v>
      </c>
      <c r="B52" s="44" t="s">
        <v>199</v>
      </c>
      <c r="C52" s="44" t="s">
        <v>110</v>
      </c>
      <c r="D52" s="44" t="n">
        <v>261</v>
      </c>
      <c r="E52" s="45" t="n">
        <v>19.2</v>
      </c>
      <c r="F52" s="45" t="n">
        <v>68.1</v>
      </c>
      <c r="G52" s="45" t="n">
        <v>9.5</v>
      </c>
      <c r="H52" s="45" t="n">
        <v>60.9</v>
      </c>
      <c r="I52" s="44" t="n">
        <v>5.97</v>
      </c>
      <c r="J52" s="45" t="n">
        <v>98</v>
      </c>
      <c r="K52" s="45" t="n">
        <v>77.1</v>
      </c>
      <c r="L52" s="46" t="n">
        <v>16486</v>
      </c>
      <c r="M52" s="44" t="s">
        <v>118</v>
      </c>
    </row>
    <row r="53" customFormat="false" ht="18" hidden="false" customHeight="true" outlineLevel="0" collapsed="false">
      <c r="A53" s="41" t="s">
        <v>200</v>
      </c>
      <c r="B53" s="41" t="s">
        <v>201</v>
      </c>
      <c r="C53" s="41" t="s">
        <v>96</v>
      </c>
      <c r="D53" s="41" t="n">
        <v>237</v>
      </c>
      <c r="E53" s="42" t="n">
        <v>12.5</v>
      </c>
      <c r="F53" s="42" t="n">
        <v>81.2</v>
      </c>
      <c r="G53" s="42" t="n">
        <v>11.4</v>
      </c>
      <c r="H53" s="42" t="n">
        <v>58.7</v>
      </c>
      <c r="I53" s="41" t="n">
        <v>4.43</v>
      </c>
      <c r="J53" s="42" t="n">
        <v>69.8</v>
      </c>
      <c r="K53" s="42" t="n">
        <v>74.6</v>
      </c>
      <c r="L53" s="43" t="n">
        <v>14416</v>
      </c>
      <c r="M53" s="41" t="s">
        <v>118</v>
      </c>
    </row>
    <row r="54" customFormat="false" ht="18" hidden="false" customHeight="true" outlineLevel="0" collapsed="false">
      <c r="A54" s="44" t="s">
        <v>202</v>
      </c>
      <c r="B54" s="44" t="s">
        <v>203</v>
      </c>
      <c r="C54" s="44" t="s">
        <v>139</v>
      </c>
      <c r="D54" s="44" t="n">
        <v>208</v>
      </c>
      <c r="E54" s="45" t="n">
        <v>15.6</v>
      </c>
      <c r="F54" s="45" t="n">
        <v>73.2</v>
      </c>
      <c r="G54" s="45" t="n">
        <v>16.7</v>
      </c>
      <c r="H54" s="45" t="n">
        <v>76.3</v>
      </c>
      <c r="I54" s="44" t="n">
        <v>3.9</v>
      </c>
      <c r="J54" s="45" t="n">
        <v>81.5</v>
      </c>
      <c r="K54" s="45" t="n">
        <v>65.1</v>
      </c>
      <c r="L54" s="46" t="n">
        <v>14495</v>
      </c>
      <c r="M54" s="44" t="s">
        <v>118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7"/>
  </cols>
  <sheetData>
    <row r="1" customFormat="false" ht="31.5" hidden="false" customHeight="true" outlineLevel="0" collapsed="false">
      <c r="A1" s="6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206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47" t="s">
        <v>207</v>
      </c>
      <c r="B5" s="47" t="s">
        <v>85</v>
      </c>
      <c r="C5" s="47" t="s">
        <v>208</v>
      </c>
      <c r="D5" s="47" t="s">
        <v>86</v>
      </c>
      <c r="E5" s="47" t="s">
        <v>209</v>
      </c>
      <c r="F5" s="47" t="s">
        <v>210</v>
      </c>
      <c r="G5" s="47" t="s">
        <v>211</v>
      </c>
      <c r="H5" s="47" t="s">
        <v>88</v>
      </c>
      <c r="I5" s="47" t="s">
        <v>212</v>
      </c>
      <c r="J5" s="47" t="s">
        <v>213</v>
      </c>
    </row>
    <row r="6" customFormat="false" ht="21.75" hidden="false" customHeight="true" outlineLevel="0" collapsed="false">
      <c r="A6" s="27" t="s">
        <v>214</v>
      </c>
      <c r="B6" s="48" t="n">
        <v>14</v>
      </c>
      <c r="C6" s="28" t="s">
        <v>215</v>
      </c>
      <c r="D6" s="48" t="n">
        <v>72</v>
      </c>
      <c r="E6" s="28" t="s">
        <v>216</v>
      </c>
      <c r="F6" s="48" t="n">
        <v>12</v>
      </c>
      <c r="G6" s="28" t="s">
        <v>217</v>
      </c>
      <c r="H6" s="48" t="n">
        <v>68</v>
      </c>
      <c r="I6" s="28" t="n">
        <v>45.3</v>
      </c>
      <c r="J6" s="27" t="s">
        <v>218</v>
      </c>
    </row>
    <row r="7" customFormat="false" ht="21.75" hidden="false" customHeight="true" outlineLevel="0" collapsed="false">
      <c r="A7" s="27" t="s">
        <v>219</v>
      </c>
      <c r="B7" s="48" t="n">
        <v>14.8</v>
      </c>
      <c r="C7" s="28" t="s">
        <v>220</v>
      </c>
      <c r="D7" s="48" t="n">
        <v>70</v>
      </c>
      <c r="E7" s="28" t="s">
        <v>221</v>
      </c>
      <c r="F7" s="48" t="n">
        <v>12.3</v>
      </c>
      <c r="G7" s="28" t="s">
        <v>222</v>
      </c>
      <c r="H7" s="48" t="n">
        <v>65</v>
      </c>
      <c r="I7" s="28" t="n">
        <v>44.3</v>
      </c>
      <c r="J7" s="27" t="s">
        <v>218</v>
      </c>
    </row>
    <row r="8" customFormat="false" ht="21.75" hidden="false" customHeight="true" outlineLevel="0" collapsed="false">
      <c r="A8" s="27" t="s">
        <v>223</v>
      </c>
      <c r="B8" s="48" t="n">
        <v>15.6</v>
      </c>
      <c r="C8" s="28" t="s">
        <v>224</v>
      </c>
      <c r="D8" s="48" t="n">
        <v>68</v>
      </c>
      <c r="E8" s="28" t="s">
        <v>217</v>
      </c>
      <c r="F8" s="48" t="n">
        <v>12.6</v>
      </c>
      <c r="G8" s="28" t="s">
        <v>225</v>
      </c>
      <c r="H8" s="48" t="n">
        <v>62</v>
      </c>
      <c r="I8" s="28" t="n">
        <v>43.3</v>
      </c>
      <c r="J8" s="27" t="s">
        <v>218</v>
      </c>
    </row>
    <row r="9" customFormat="false" ht="21.75" hidden="false" customHeight="true" outlineLevel="0" collapsed="false">
      <c r="A9" s="30" t="s">
        <v>226</v>
      </c>
      <c r="B9" s="22" t="n">
        <v>16.4</v>
      </c>
      <c r="C9" s="21" t="s">
        <v>227</v>
      </c>
      <c r="D9" s="22" t="n">
        <v>66</v>
      </c>
      <c r="E9" s="21" t="s">
        <v>215</v>
      </c>
      <c r="F9" s="22" t="n">
        <v>12.9</v>
      </c>
      <c r="G9" s="21" t="s">
        <v>220</v>
      </c>
      <c r="H9" s="22" t="n">
        <v>59</v>
      </c>
      <c r="I9" s="21" t="n">
        <v>42.3</v>
      </c>
      <c r="J9" s="30" t="s">
        <v>228</v>
      </c>
    </row>
    <row r="10" customFormat="false" ht="21.75" hidden="false" customHeight="true" outlineLevel="0" collapsed="false">
      <c r="A10" s="30" t="s">
        <v>229</v>
      </c>
      <c r="B10" s="22" t="n">
        <v>17.2</v>
      </c>
      <c r="C10" s="21" t="s">
        <v>230</v>
      </c>
      <c r="D10" s="22" t="n">
        <v>64</v>
      </c>
      <c r="E10" s="21" t="s">
        <v>231</v>
      </c>
      <c r="F10" s="22" t="n">
        <v>13.2</v>
      </c>
      <c r="G10" s="21" t="s">
        <v>232</v>
      </c>
      <c r="H10" s="22" t="n">
        <v>56</v>
      </c>
      <c r="I10" s="21" t="n">
        <v>41.3</v>
      </c>
      <c r="J10" s="30" t="s">
        <v>228</v>
      </c>
    </row>
    <row r="11" customFormat="false" ht="21.75" hidden="false" customHeight="true" outlineLevel="0" collapsed="false">
      <c r="A11" s="32" t="s">
        <v>233</v>
      </c>
      <c r="B11" s="20" t="n">
        <v>18</v>
      </c>
      <c r="C11" s="19" t="s">
        <v>234</v>
      </c>
      <c r="D11" s="20" t="n">
        <v>62</v>
      </c>
      <c r="E11" s="19" t="s">
        <v>235</v>
      </c>
      <c r="F11" s="20" t="n">
        <v>13.5</v>
      </c>
      <c r="G11" s="19" t="s">
        <v>235</v>
      </c>
      <c r="H11" s="20" t="n">
        <v>53</v>
      </c>
      <c r="I11" s="19" t="n">
        <v>40.3</v>
      </c>
      <c r="J11" s="32" t="s">
        <v>236</v>
      </c>
    </row>
    <row r="12" customFormat="false" ht="21.75" hidden="false" customHeight="true" outlineLevel="0" collapsed="false">
      <c r="A12" s="32" t="s">
        <v>237</v>
      </c>
      <c r="B12" s="20" t="n">
        <v>18.8</v>
      </c>
      <c r="C12" s="19" t="s">
        <v>238</v>
      </c>
      <c r="D12" s="20" t="n">
        <v>60</v>
      </c>
      <c r="E12" s="19" t="s">
        <v>239</v>
      </c>
      <c r="F12" s="20" t="n">
        <v>13.8</v>
      </c>
      <c r="G12" s="19" t="s">
        <v>240</v>
      </c>
      <c r="H12" s="20" t="n">
        <v>50</v>
      </c>
      <c r="I12" s="19" t="n">
        <v>39.3</v>
      </c>
      <c r="J12" s="32" t="s">
        <v>236</v>
      </c>
    </row>
    <row r="13" customFormat="false" ht="21.75" hidden="false" customHeight="true" outlineLevel="0" collapsed="false">
      <c r="A13" s="49" t="s">
        <v>241</v>
      </c>
      <c r="B13" s="50" t="n">
        <v>19.6</v>
      </c>
      <c r="C13" s="51" t="s">
        <v>242</v>
      </c>
      <c r="D13" s="50" t="n">
        <v>58</v>
      </c>
      <c r="E13" s="51" t="s">
        <v>234</v>
      </c>
      <c r="F13" s="50" t="n">
        <v>14.1</v>
      </c>
      <c r="G13" s="51" t="s">
        <v>230</v>
      </c>
      <c r="H13" s="50" t="n">
        <v>47</v>
      </c>
      <c r="I13" s="51" t="n">
        <v>38.3</v>
      </c>
      <c r="J13" s="49" t="s">
        <v>243</v>
      </c>
    </row>
    <row r="15" customFormat="false" ht="19.5" hidden="false" customHeight="true" outlineLevel="0" collapsed="false">
      <c r="A15" s="8" t="s">
        <v>244</v>
      </c>
      <c r="B15" s="8"/>
      <c r="C15" s="8"/>
      <c r="D15" s="8"/>
      <c r="E15" s="8"/>
      <c r="F15" s="8"/>
      <c r="G15" s="8"/>
      <c r="H15" s="8"/>
      <c r="I15" s="8"/>
      <c r="J15" s="8"/>
    </row>
    <row r="16" customFormat="false" ht="21.75" hidden="false" customHeight="true" outlineLevel="0" collapsed="false">
      <c r="A16" s="18" t="s">
        <v>245</v>
      </c>
      <c r="B16" s="18" t="s">
        <v>246</v>
      </c>
      <c r="C16" s="18" t="s">
        <v>247</v>
      </c>
      <c r="D16" s="18" t="s">
        <v>248</v>
      </c>
      <c r="E16" s="18" t="s">
        <v>249</v>
      </c>
      <c r="F16" s="18" t="s">
        <v>250</v>
      </c>
      <c r="G16" s="18" t="s">
        <v>251</v>
      </c>
    </row>
    <row r="17" customFormat="false" ht="15" hidden="false" customHeight="true" outlineLevel="0" collapsed="false">
      <c r="A17" s="52" t="s">
        <v>252</v>
      </c>
      <c r="B17" s="53" t="n">
        <v>14.1</v>
      </c>
      <c r="C17" s="53" t="n">
        <v>11.8</v>
      </c>
      <c r="D17" s="53" t="n">
        <v>16.9</v>
      </c>
      <c r="E17" s="52" t="n">
        <f aca="false">AVERAGE(B6:B13)</f>
        <v>16.8</v>
      </c>
      <c r="F17" s="52" t="n">
        <f aca="false">E17-B17</f>
        <v>2.7</v>
      </c>
      <c r="G17" s="52" t="str">
        <f aca="false">IF(F17&gt;0,"ABOVE BENCHMARK","BELOW BENCHMARK")</f>
        <v>ABOVE BENCHMARK</v>
      </c>
    </row>
    <row r="18" customFormat="false" ht="15" hidden="false" customHeight="true" outlineLevel="0" collapsed="false">
      <c r="A18" s="25" t="s">
        <v>86</v>
      </c>
      <c r="B18" s="26" t="n">
        <v>72.4</v>
      </c>
      <c r="C18" s="26" t="n">
        <v>65.1</v>
      </c>
      <c r="D18" s="26" t="n">
        <v>80.2</v>
      </c>
      <c r="E18" s="25" t="n">
        <f aca="false">AVERAGE(D6:D13)</f>
        <v>65</v>
      </c>
      <c r="F18" s="25" t="n">
        <f aca="false">E18-B18</f>
        <v>-7.40000000000001</v>
      </c>
      <c r="G18" s="25" t="str">
        <f aca="false">IF(F18&lt;0,"BELOW BENCHMARK","ABOVE BENCHMARK")</f>
        <v>BELOW BENCHMARK</v>
      </c>
    </row>
    <row r="19" customFormat="false" ht="15" hidden="false" customHeight="true" outlineLevel="0" collapsed="false">
      <c r="A19" s="52" t="s">
        <v>253</v>
      </c>
      <c r="B19" s="53" t="n">
        <v>12</v>
      </c>
      <c r="C19" s="53" t="n">
        <v>9.8</v>
      </c>
      <c r="D19" s="53" t="n">
        <v>14.5</v>
      </c>
      <c r="E19" s="52" t="n">
        <f aca="false">AVERAGE(F6:F13)</f>
        <v>13.05</v>
      </c>
      <c r="F19" s="52" t="n">
        <f aca="false">E19-B19</f>
        <v>1.05</v>
      </c>
      <c r="G19" s="52" t="str">
        <f aca="false">IF(F19&gt;0,"ABOVE BENCHMARK","BELOW BENCHMARK")</f>
        <v>ABOVE BENCHMARK</v>
      </c>
    </row>
    <row r="20" customFormat="false" ht="15" hidden="false" customHeight="true" outlineLevel="0" collapsed="false">
      <c r="A20" s="25" t="s">
        <v>88</v>
      </c>
      <c r="B20" s="26" t="n">
        <v>67.8</v>
      </c>
      <c r="C20" s="26" t="n">
        <v>58.2</v>
      </c>
      <c r="D20" s="26" t="n">
        <v>78.4</v>
      </c>
      <c r="E20" s="25" t="n">
        <f aca="false">AVERAGE(H6:H13)</f>
        <v>57.5</v>
      </c>
      <c r="F20" s="25" t="n">
        <f aca="false">E20-B20</f>
        <v>-10.3</v>
      </c>
      <c r="G20" s="25" t="str">
        <f aca="false">IF(F20&lt;0,"BELOW BENCHMARK","ABOVE BENCHMARK")</f>
        <v>BELOW BENCHMARK</v>
      </c>
    </row>
  </sheetData>
  <mergeCells count="4">
    <mergeCell ref="A1:L1"/>
    <mergeCell ref="A2:L2"/>
    <mergeCell ref="A4:J4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7"/>
  </cols>
  <sheetData>
    <row r="1" customFormat="false" ht="31.5" hidden="false" customHeight="true" outlineLevel="0" collapsed="false">
      <c r="A1" s="6" t="s">
        <v>254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256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54" t="s">
        <v>257</v>
      </c>
      <c r="B5" s="54"/>
      <c r="C5" s="54"/>
      <c r="D5" s="55" t="s">
        <v>258</v>
      </c>
      <c r="E5" s="55"/>
      <c r="F5" s="55"/>
      <c r="G5" s="55"/>
      <c r="H5" s="55"/>
      <c r="I5" s="55"/>
    </row>
    <row r="6" customFormat="false" ht="21.75" hidden="false" customHeight="true" outlineLevel="0" collapsed="false">
      <c r="A6" s="54" t="s">
        <v>259</v>
      </c>
      <c r="B6" s="54"/>
      <c r="C6" s="54"/>
      <c r="D6" s="55" t="s">
        <v>260</v>
      </c>
      <c r="E6" s="55"/>
      <c r="F6" s="55"/>
      <c r="G6" s="55"/>
      <c r="H6" s="55"/>
      <c r="I6" s="55"/>
    </row>
    <row r="7" customFormat="false" ht="21.75" hidden="false" customHeight="true" outlineLevel="0" collapsed="false">
      <c r="A7" s="54" t="s">
        <v>261</v>
      </c>
      <c r="B7" s="54"/>
      <c r="C7" s="54"/>
      <c r="D7" s="55" t="s">
        <v>262</v>
      </c>
      <c r="E7" s="55"/>
      <c r="F7" s="55"/>
      <c r="G7" s="55"/>
      <c r="H7" s="55"/>
      <c r="I7" s="55"/>
    </row>
    <row r="8" customFormat="false" ht="21.75" hidden="false" customHeight="true" outlineLevel="0" collapsed="false">
      <c r="A8" s="54" t="s">
        <v>263</v>
      </c>
      <c r="B8" s="54"/>
      <c r="C8" s="54"/>
      <c r="D8" s="55" t="s">
        <v>264</v>
      </c>
      <c r="E8" s="55"/>
      <c r="F8" s="55"/>
      <c r="G8" s="55"/>
      <c r="H8" s="55"/>
      <c r="I8" s="55"/>
    </row>
    <row r="9" customFormat="false" ht="21.75" hidden="false" customHeight="true" outlineLevel="0" collapsed="false">
      <c r="A9" s="54" t="s">
        <v>265</v>
      </c>
      <c r="B9" s="54"/>
      <c r="C9" s="54"/>
      <c r="D9" s="56" t="n">
        <v>0.676</v>
      </c>
      <c r="E9" s="56"/>
      <c r="F9" s="56"/>
      <c r="G9" s="56"/>
      <c r="H9" s="56"/>
      <c r="I9" s="56"/>
    </row>
    <row r="10" customFormat="false" ht="21.75" hidden="false" customHeight="true" outlineLevel="0" collapsed="false">
      <c r="A10" s="54" t="s">
        <v>266</v>
      </c>
      <c r="B10" s="54"/>
      <c r="C10" s="54"/>
      <c r="D10" s="55" t="s">
        <v>267</v>
      </c>
      <c r="E10" s="55"/>
      <c r="F10" s="55"/>
      <c r="G10" s="55"/>
      <c r="H10" s="55"/>
      <c r="I10" s="55"/>
    </row>
    <row r="11" customFormat="false" ht="21.75" hidden="false" customHeight="true" outlineLevel="0" collapsed="false">
      <c r="A11" s="54" t="s">
        <v>268</v>
      </c>
      <c r="B11" s="54"/>
      <c r="C11" s="54"/>
      <c r="D11" s="55" t="s">
        <v>269</v>
      </c>
      <c r="E11" s="55"/>
      <c r="F11" s="55"/>
      <c r="G11" s="55"/>
      <c r="H11" s="55"/>
      <c r="I11" s="55"/>
    </row>
    <row r="13" customFormat="false" ht="19.5" hidden="false" customHeight="true" outlineLevel="0" collapsed="false">
      <c r="A13" s="8" t="s">
        <v>270</v>
      </c>
      <c r="B13" s="8"/>
      <c r="C13" s="8"/>
      <c r="D13" s="8"/>
      <c r="E13" s="8"/>
      <c r="F13" s="8"/>
      <c r="G13" s="8"/>
      <c r="H13" s="8"/>
      <c r="I13" s="8"/>
      <c r="J13" s="8"/>
    </row>
    <row r="14" customFormat="false" ht="21.75" hidden="false" customHeight="true" outlineLevel="0" collapsed="false">
      <c r="A14" s="18" t="s">
        <v>271</v>
      </c>
      <c r="B14" s="18" t="s">
        <v>27</v>
      </c>
      <c r="C14" s="18" t="s">
        <v>28</v>
      </c>
      <c r="D14" s="18" t="s">
        <v>272</v>
      </c>
      <c r="E14" s="18" t="s">
        <v>30</v>
      </c>
      <c r="F14" s="18" t="s">
        <v>273</v>
      </c>
      <c r="G14" s="18" t="s">
        <v>274</v>
      </c>
      <c r="H14" s="18" t="s">
        <v>275</v>
      </c>
      <c r="I14" s="18" t="s">
        <v>276</v>
      </c>
    </row>
    <row r="15" customFormat="false" ht="21.75" hidden="false" customHeight="true" outlineLevel="0" collapsed="false">
      <c r="A15" s="25" t="s">
        <v>45</v>
      </c>
      <c r="B15" s="25" t="n">
        <v>22.1</v>
      </c>
      <c r="C15" s="25" t="n">
        <v>1.4</v>
      </c>
      <c r="D15" s="25" t="n">
        <v>15.79</v>
      </c>
      <c r="E15" s="25" t="s">
        <v>34</v>
      </c>
      <c r="F15" s="25" t="n">
        <v>19.36</v>
      </c>
      <c r="G15" s="25" t="n">
        <v>24.84</v>
      </c>
      <c r="H15" s="25" t="s">
        <v>46</v>
      </c>
      <c r="I15" s="57" t="s">
        <v>277</v>
      </c>
    </row>
    <row r="16" customFormat="false" ht="21.75" hidden="false" customHeight="true" outlineLevel="0" collapsed="false">
      <c r="A16" s="19" t="s">
        <v>33</v>
      </c>
      <c r="B16" s="19" t="n">
        <v>-1.42</v>
      </c>
      <c r="C16" s="19" t="n">
        <v>0.18</v>
      </c>
      <c r="D16" s="19" t="n">
        <v>-7.89</v>
      </c>
      <c r="E16" s="19" t="s">
        <v>34</v>
      </c>
      <c r="F16" s="19" t="n">
        <v>-1.77</v>
      </c>
      <c r="G16" s="19" t="n">
        <v>-1.07</v>
      </c>
      <c r="H16" s="19" t="n">
        <v>1.23</v>
      </c>
      <c r="I16" s="32" t="s">
        <v>278</v>
      </c>
    </row>
    <row r="17" customFormat="false" ht="21.75" hidden="false" customHeight="true" outlineLevel="0" collapsed="false">
      <c r="A17" s="19" t="s">
        <v>279</v>
      </c>
      <c r="B17" s="19" t="n">
        <v>-0.065</v>
      </c>
      <c r="C17" s="19" t="n">
        <v>0.009</v>
      </c>
      <c r="D17" s="19" t="n">
        <v>-7.22</v>
      </c>
      <c r="E17" s="19" t="s">
        <v>34</v>
      </c>
      <c r="F17" s="19" t="n">
        <v>-0.083</v>
      </c>
      <c r="G17" s="19" t="n">
        <v>-0.048</v>
      </c>
      <c r="H17" s="19" t="n">
        <v>1.31</v>
      </c>
      <c r="I17" s="32" t="s">
        <v>278</v>
      </c>
    </row>
    <row r="18" customFormat="false" ht="21.75" hidden="false" customHeight="true" outlineLevel="0" collapsed="false">
      <c r="A18" s="21" t="s">
        <v>39</v>
      </c>
      <c r="B18" s="21" t="n">
        <v>0.038</v>
      </c>
      <c r="C18" s="21" t="n">
        <v>0.014</v>
      </c>
      <c r="D18" s="21" t="n">
        <v>2.71</v>
      </c>
      <c r="E18" s="22" t="n">
        <v>0.007</v>
      </c>
      <c r="F18" s="21" t="n">
        <v>0.011</v>
      </c>
      <c r="G18" s="21" t="n">
        <v>0.066</v>
      </c>
      <c r="H18" s="21" t="n">
        <v>1.18</v>
      </c>
      <c r="I18" s="30" t="s">
        <v>280</v>
      </c>
    </row>
    <row r="19" customFormat="false" ht="21.75" hidden="false" customHeight="true" outlineLevel="0" collapsed="false">
      <c r="A19" s="23" t="s">
        <v>42</v>
      </c>
      <c r="B19" s="23" t="n">
        <v>0.12</v>
      </c>
      <c r="C19" s="23" t="n">
        <v>0.08</v>
      </c>
      <c r="D19" s="23" t="n">
        <v>1.5</v>
      </c>
      <c r="E19" s="24" t="n">
        <v>0.134</v>
      </c>
      <c r="F19" s="23" t="n">
        <v>-0.04</v>
      </c>
      <c r="G19" s="23" t="n">
        <v>0.28</v>
      </c>
      <c r="H19" s="23" t="n">
        <v>1.44</v>
      </c>
      <c r="I19" s="58" t="s">
        <v>281</v>
      </c>
    </row>
  </sheetData>
  <mergeCells count="18">
    <mergeCell ref="A1:L1"/>
    <mergeCell ref="A2:L2"/>
    <mergeCell ref="A4:J4"/>
    <mergeCell ref="A5:C5"/>
    <mergeCell ref="D5:I5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8"/>
  </cols>
  <sheetData>
    <row r="1" customFormat="false" ht="31.5" hidden="false" customHeight="true" outlineLevel="0" collapsed="false">
      <c r="A1" s="6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282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283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12" t="s">
        <v>284</v>
      </c>
      <c r="B5" s="11" t="s">
        <v>285</v>
      </c>
      <c r="C5" s="10" t="s">
        <v>286</v>
      </c>
      <c r="D5" s="11" t="s">
        <v>287</v>
      </c>
      <c r="E5" s="59" t="s">
        <v>288</v>
      </c>
    </row>
    <row r="6" customFormat="false" ht="25.5" hidden="false" customHeight="true" outlineLevel="0" collapsed="false">
      <c r="A6" s="60" t="n">
        <v>215000</v>
      </c>
      <c r="B6" s="61" t="n">
        <v>420000</v>
      </c>
      <c r="C6" s="14" t="s">
        <v>289</v>
      </c>
      <c r="D6" s="17" t="s">
        <v>290</v>
      </c>
      <c r="E6" s="62" t="s">
        <v>291</v>
      </c>
    </row>
    <row r="8" customFormat="false" ht="19.5" hidden="false" customHeight="true" outlineLevel="0" collapsed="false">
      <c r="A8" s="8" t="s">
        <v>292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21.75" hidden="false" customHeight="true" outlineLevel="0" collapsed="false">
      <c r="A9" s="18" t="s">
        <v>293</v>
      </c>
      <c r="B9" s="18" t="s">
        <v>49</v>
      </c>
      <c r="C9" s="18" t="s">
        <v>294</v>
      </c>
      <c r="D9" s="18" t="s">
        <v>295</v>
      </c>
      <c r="E9" s="18" t="s">
        <v>296</v>
      </c>
      <c r="F9" s="18" t="s">
        <v>297</v>
      </c>
      <c r="G9" s="18" t="s">
        <v>298</v>
      </c>
      <c r="H9" s="18" t="s">
        <v>299</v>
      </c>
      <c r="I9" s="18" t="s">
        <v>300</v>
      </c>
      <c r="J9" s="18" t="s">
        <v>251</v>
      </c>
    </row>
    <row r="10" customFormat="false" ht="21.75" hidden="false" customHeight="true" outlineLevel="0" collapsed="false">
      <c r="A10" s="19" t="n">
        <v>1</v>
      </c>
      <c r="B10" s="19" t="s">
        <v>301</v>
      </c>
      <c r="C10" s="19" t="s">
        <v>302</v>
      </c>
      <c r="D10" s="19" t="s">
        <v>303</v>
      </c>
      <c r="E10" s="19" t="n">
        <v>1</v>
      </c>
      <c r="F10" s="19" t="n">
        <v>30</v>
      </c>
      <c r="G10" s="63" t="n">
        <v>85000</v>
      </c>
      <c r="H10" s="63" t="n">
        <v>180000</v>
      </c>
      <c r="I10" s="19" t="s">
        <v>60</v>
      </c>
      <c r="J10" s="32" t="s">
        <v>304</v>
      </c>
    </row>
    <row r="11" customFormat="false" ht="21.75" hidden="false" customHeight="true" outlineLevel="0" collapsed="false">
      <c r="A11" s="21" t="n">
        <v>2</v>
      </c>
      <c r="B11" s="21" t="s">
        <v>305</v>
      </c>
      <c r="C11" s="21" t="s">
        <v>306</v>
      </c>
      <c r="D11" s="21" t="s">
        <v>307</v>
      </c>
      <c r="E11" s="21" t="n">
        <v>15</v>
      </c>
      <c r="F11" s="21" t="n">
        <v>60</v>
      </c>
      <c r="G11" s="64" t="n">
        <v>35000</v>
      </c>
      <c r="H11" s="64" t="n">
        <v>140000</v>
      </c>
      <c r="I11" s="21" t="s">
        <v>66</v>
      </c>
      <c r="J11" s="30" t="s">
        <v>308</v>
      </c>
    </row>
    <row r="12" customFormat="false" ht="21.75" hidden="false" customHeight="true" outlineLevel="0" collapsed="false">
      <c r="A12" s="35" t="n">
        <v>3</v>
      </c>
      <c r="B12" s="35" t="s">
        <v>309</v>
      </c>
      <c r="C12" s="35" t="s">
        <v>69</v>
      </c>
      <c r="D12" s="35" t="s">
        <v>310</v>
      </c>
      <c r="E12" s="35" t="n">
        <v>30</v>
      </c>
      <c r="F12" s="35" t="n">
        <v>90</v>
      </c>
      <c r="G12" s="65" t="n">
        <v>55000</v>
      </c>
      <c r="H12" s="65" t="n">
        <v>100000</v>
      </c>
      <c r="I12" s="35" t="s">
        <v>311</v>
      </c>
      <c r="J12" s="34" t="s">
        <v>312</v>
      </c>
    </row>
    <row r="13" customFormat="false" ht="21.75" hidden="false" customHeight="true" outlineLevel="0" collapsed="false">
      <c r="A13" s="23" t="n">
        <v>4</v>
      </c>
      <c r="B13" s="23" t="s">
        <v>313</v>
      </c>
      <c r="C13" s="23" t="s">
        <v>314</v>
      </c>
      <c r="D13" s="23" t="s">
        <v>315</v>
      </c>
      <c r="E13" s="23" t="n">
        <v>45</v>
      </c>
      <c r="F13" s="23" t="n">
        <v>90</v>
      </c>
      <c r="G13" s="66" t="n">
        <v>40000</v>
      </c>
      <c r="H13" s="66" t="n">
        <v>0</v>
      </c>
      <c r="I13" s="23" t="s">
        <v>77</v>
      </c>
      <c r="J13" s="58" t="s">
        <v>316</v>
      </c>
    </row>
    <row r="14" customFormat="false" ht="15" hidden="false" customHeight="true" outlineLevel="0" collapsed="false">
      <c r="A14" s="67" t="s">
        <v>317</v>
      </c>
      <c r="B14" s="67"/>
      <c r="C14" s="67"/>
      <c r="D14" s="67"/>
      <c r="E14" s="67"/>
      <c r="F14" s="67"/>
      <c r="G14" s="68" t="n">
        <f aca="false">SUM(G10:G13)</f>
        <v>215000</v>
      </c>
      <c r="H14" s="68" t="n">
        <f aca="false">SUM(H10:H13)</f>
        <v>420000</v>
      </c>
    </row>
  </sheetData>
  <mergeCells count="5">
    <mergeCell ref="A1:L1"/>
    <mergeCell ref="A2:L2"/>
    <mergeCell ref="A4:J4"/>
    <mergeCell ref="A8:J8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2026-04-10T19:47:40Z</dcterms:created>
  <dc:creator>openpyxl</dc:creator>
  <dc:description/>
  <dc:language>en-US</dc:language>
  <cp:lastModifiedBy/>
  <dcterms:modified xsi:type="dcterms:W3CDTF">2026-04-10T22:48:11Z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