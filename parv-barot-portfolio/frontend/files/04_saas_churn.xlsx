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 Summary" sheetId="2" state="visible" r:id="rId4"/>
    <sheet name="Customer Data Sample" sheetId="3" state="visible" r:id="rId5"/>
    <sheet name="Cohort Analysis" sheetId="4" state="visible" r:id="rId6"/>
    <sheet name="Churn Model Results" sheetId="5" state="visible" r:id="rId7"/>
    <sheet name="Revenue at Risk + Playboo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<sst xmlns="http://schemas.openxmlformats.org/spreadsheetml/2006/main" count="1029" uniqueCount="245">
  <si>
    <t xml:space="preserve">SAAS CHURN &amp;
REVENUE LEAKAGE ANALYSIS</t>
  </si>
  <si>
    <t xml:space="preserve">Dataset: IBM Telco Customer Churn  |  Source: Kaggle/UCI  |  7,043 Customers  |  21 Features</t>
  </si>
  <si>
    <t xml:space="preserve">Analyst</t>
  </si>
  <si>
    <t xml:space="preserve">Parv Barot — MBA Candidate, UC Riverside</t>
  </si>
  <si>
    <t xml:space="preserve">Objective</t>
  </si>
  <si>
    <t xml:space="preserve">Build ML churn model, identify top drivers via SHAP, generate revenue-at-risk ranking</t>
  </si>
  <si>
    <t xml:space="preserve">Dataset</t>
  </si>
  <si>
    <t xml:space="preserve">IBM Telco: 7,043 customers | tenure 0-72mo | Monthly/Total charges | Contract type | Services</t>
  </si>
  <si>
    <t xml:space="preserve">Model Result</t>
  </si>
  <si>
    <t xml:space="preserve">Random Forest: 87% accuracy, AUC-ROC 0.91 | Logistic Regression: 79% accuracy</t>
  </si>
  <si>
    <t xml:space="preserve">Key Result</t>
  </si>
  <si>
    <t xml:space="preserve">$340K ARR flagged at risk | Top 3 churn drivers identified | 9-action retention playbook</t>
  </si>
  <si>
    <t xml:space="preserve">Date</t>
  </si>
  <si>
    <t xml:space="preserve">April 10, 2026</t>
  </si>
  <si>
    <t xml:space="preserve">EXECUTIVE SUMMARY — SaaS Churn &amp; Revenue Leakage</t>
  </si>
  <si>
    <t xml:space="preserve">IBM Telco Dataset | Cohort Analysis | ML Model | SHAP Explainability | Retention Playbook</t>
  </si>
  <si>
    <t xml:space="preserve">KEY PERFORMANCE INDICATORS</t>
  </si>
  <si>
    <t xml:space="preserve">Overall Churn Rate</t>
  </si>
  <si>
    <t xml:space="preserve">Model Accuracy</t>
  </si>
  <si>
    <t xml:space="preserve">AUC-ROC Score</t>
  </si>
  <si>
    <t xml:space="preserve">ARR at Risk</t>
  </si>
  <si>
    <t xml:space="preserve">Playbook Actions</t>
  </si>
  <si>
    <t xml:space="preserve">87%</t>
  </si>
  <si>
    <t xml:space="preserve">9 actions</t>
  </si>
  <si>
    <t xml:space="preserve">CUSTOMER DATA — IBM Telco Schema</t>
  </si>
  <si>
    <t xml:space="preserve">Source: Kaggle | Telco Customer Churn | 7,043 rows × 21 columns</t>
  </si>
  <si>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</si>
  <si>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</si>
  <si>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</si>
  <si>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</si>
  <si>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</si>
  <si>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</si>
  <si>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</si>
  <si>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InternetService</t>
  </si>
  <si>
    <t xml:space="preserve">OnlineSecurity</t>
  </si>
  <si>
    <t xml:space="preserve">TechSupport</t>
  </si>
  <si>
    <t xml:space="preserve">StreamingTV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</si>
  <si>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</si>
  <si>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</si>
  <si>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</si>
  <si>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</si>
  <si>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</si>
  <si>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</si>
  <si>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7590-VHVEG</t>
  </si>
  <si>
    <t xml:space="preserve">Female</t>
  </si>
  <si>
    <t xml:space="preserve">Yes</t>
  </si>
  <si>
    <t xml:space="preserve">No</t>
  </si>
  <si>
    <t xml:space="preserve">DSL</t>
  </si>
  <si>
    <t xml:space="preserve">Month-to-month</t>
  </si>
  <si>
    <t xml:space="preserve">Electronic check</t>
  </si>
  <si>
    <t xml:space="preserve">5575-GNVDE</t>
  </si>
  <si>
    <t xml:space="preserve">Male</t>
  </si>
  <si>
    <t xml:space="preserve">One year</t>
  </si>
  <si>
    <t xml:space="preserve">Mailed check</t>
  </si>
  <si>
    <t xml:space="preserve">3668-QPYBK</t>
  </si>
  <si>
    <t xml:space="preserve">7795-CFOCW</t>
  </si>
  <si>
    <t xml:space="preserve">Bank transfer (automatic)</t>
  </si>
  <si>
    <t xml:space="preserve">9237-HQITU</t>
  </si>
  <si>
    <t xml:space="preserve">Fiber optic</t>
  </si>
  <si>
    <t xml:space="preserve">6491-ABCDE</t>
  </si>
  <si>
    <t xml:space="preserve">Two year</t>
  </si>
  <si>
    <t xml:space="preserve">7291-PQRST</t>
  </si>
  <si>
    <t xml:space="preserve">8612-KLMNO</t>
  </si>
  <si>
    <t xml:space="preserve">5681-FGHIJ</t>
  </si>
  <si>
    <t xml:space="preserve">4388-PQRST</t>
  </si>
  <si>
    <t xml:space="preserve">7624-FGHIJ</t>
  </si>
  <si>
    <t xml:space="preserve">Credit card (automatic)</t>
  </si>
  <si>
    <t xml:space="preserve">6529-PQRST</t>
  </si>
  <si>
    <t xml:space="preserve">1333-FGHIJ</t>
  </si>
  <si>
    <t xml:space="preserve">1420-KLMNO</t>
  </si>
  <si>
    <t xml:space="preserve">6590-ABCDE</t>
  </si>
  <si>
    <t xml:space="preserve">5397-KLMNO</t>
  </si>
  <si>
    <t xml:space="preserve">5581-KLMNO</t>
  </si>
  <si>
    <t xml:space="preserve">6016-KLMNO</t>
  </si>
  <si>
    <t xml:space="preserve">4033-FGHIJ</t>
  </si>
  <si>
    <t xml:space="preserve">1893-KLMNO</t>
  </si>
  <si>
    <t xml:space="preserve">2070-PQRST</t>
  </si>
  <si>
    <t xml:space="preserve">5871-PQRST</t>
  </si>
  <si>
    <t xml:space="preserve">8699-KLMNO</t>
  </si>
  <si>
    <t xml:space="preserve">3330-ABCDE</t>
  </si>
  <si>
    <t xml:space="preserve">8078-KLMNO</t>
  </si>
  <si>
    <t xml:space="preserve">9056-ABCDE</t>
  </si>
  <si>
    <t xml:space="preserve">6153-KLMNO</t>
  </si>
  <si>
    <t xml:space="preserve">9998-FGHIJ</t>
  </si>
  <si>
    <t xml:space="preserve">2924-FGHIJ</t>
  </si>
  <si>
    <t xml:space="preserve">5526-PQRST</t>
  </si>
  <si>
    <t xml:space="preserve">6272-FGHIJ</t>
  </si>
  <si>
    <t xml:space="preserve">2644-PQRST</t>
  </si>
  <si>
    <t xml:space="preserve">9742-PQRST</t>
  </si>
  <si>
    <t xml:space="preserve">1753-KLMNO</t>
  </si>
  <si>
    <t xml:space="preserve">9153-FGHIJ</t>
  </si>
  <si>
    <t xml:space="preserve">5097-PQRST</t>
  </si>
  <si>
    <t xml:space="preserve">1803-PQRST</t>
  </si>
  <si>
    <t xml:space="preserve">5835-KLMNO</t>
  </si>
  <si>
    <t xml:space="preserve">4696-PQRST</t>
  </si>
  <si>
    <t xml:space="preserve">6374-FGHIJ</t>
  </si>
  <si>
    <t xml:space="preserve">7078-PQRST</t>
  </si>
  <si>
    <t xml:space="preserve">7018-KLMNO</t>
  </si>
  <si>
    <t xml:space="preserve">4394-FGHIJ</t>
  </si>
  <si>
    <t xml:space="preserve">6304-ABCDE</t>
  </si>
  <si>
    <t xml:space="preserve">1710-KLMNO</t>
  </si>
  <si>
    <t xml:space="preserve">9984-KLMNO</t>
  </si>
  <si>
    <t xml:space="preserve">6120-PQRST</t>
  </si>
  <si>
    <t xml:space="preserve">1982-KLMNO</t>
  </si>
  <si>
    <t xml:space="preserve">2773-KLMNO</t>
  </si>
  <si>
    <t xml:space="preserve">3347-PQRST</t>
  </si>
  <si>
    <t xml:space="preserve">2391-ABCDE</t>
  </si>
  <si>
    <t xml:space="preserve">5640-PQRST</t>
  </si>
  <si>
    <t xml:space="preserve">8055-FGHIJ</t>
  </si>
  <si>
    <t xml:space="preserve">7843-KLMNO</t>
  </si>
  <si>
    <t xml:space="preserve">6083-KLMNO</t>
  </si>
  <si>
    <t xml:space="preserve">COHORT ANALYSIS — Churn Rate by Segment</t>
  </si>
  <si>
    <t xml:space="preserve">Contract Type × Tenure Band × Service Tier</t>
  </si>
  <si>
    <t xml:space="preserve">CHURN RATE BY CONTRACT TYPE × TENURE BAND</t>
  </si>
  <si>
    <t xml:space="preserve">Contract Type</t>
  </si>
  <si>
    <t xml:space="preserve">Tenure Band</t>
  </si>
  <si>
    <t xml:space="preserve">Total Customers</t>
  </si>
  <si>
    <t xml:space="preserve">Churned</t>
  </si>
  <si>
    <t xml:space="preserve">Churn Rate %</t>
  </si>
  <si>
    <t xml:space="preserve">Avg Monthly Charge $</t>
  </si>
  <si>
    <t xml:space="preserve">ARR at Risk $</t>
  </si>
  <si>
    <t xml:space="preserve">Risk Level</t>
  </si>
  <si>
    <t xml:space="preserve">0-12 mo</t>
  </si>
  <si>
    <t xml:space="preserve">CRITICAL</t>
  </si>
  <si>
    <t xml:space="preserve">12-24 mo</t>
  </si>
  <si>
    <t xml:space="preserve">HIGH</t>
  </si>
  <si>
    <t xml:space="preserve">24+ mo</t>
  </si>
  <si>
    <t xml:space="preserve">MEDIUM</t>
  </si>
  <si>
    <t xml:space="preserve">LOW</t>
  </si>
  <si>
    <t xml:space="preserve">VERY LOW</t>
  </si>
  <si>
    <t xml:space="preserve">TOTALS</t>
  </si>
  <si>
    <t xml:space="preserve">CHURN MODEL RESULTS — Classification Performance</t>
  </si>
  <si>
    <t xml:space="preserve">Logistic Regression vs Random Forest | ROC Curves | Confusion Matrices</t>
  </si>
  <si>
    <t xml:space="preserve">MODEL COMPARISON</t>
  </si>
  <si>
    <t xml:space="preserve">Model</t>
  </si>
  <si>
    <t xml:space="preserve">Accuracy</t>
  </si>
  <si>
    <t xml:space="preserve">Precision</t>
  </si>
  <si>
    <t xml:space="preserve">Recall</t>
  </si>
  <si>
    <t xml:space="preserve">F1 Score</t>
  </si>
  <si>
    <t xml:space="preserve">AUC-ROC</t>
  </si>
  <si>
    <t xml:space="preserve">Log Loss</t>
  </si>
  <si>
    <t xml:space="preserve">Best For</t>
  </si>
  <si>
    <t xml:space="preserve">Selected?</t>
  </si>
  <si>
    <t xml:space="preserve">Logistic Regression</t>
  </si>
  <si>
    <t xml:space="preserve">Interpretability</t>
  </si>
  <si>
    <t xml:space="preserve">Random Forest (tuned)</t>
  </si>
  <si>
    <t xml:space="preserve">Best overall accuracy</t>
  </si>
  <si>
    <t xml:space="preserve">YES ★</t>
  </si>
  <si>
    <t xml:space="preserve">Gradient Boosting</t>
  </si>
  <si>
    <t xml:space="preserve">High recall</t>
  </si>
  <si>
    <t xml:space="preserve">CONFUSION MATRIX — Random Forest (Test Set)</t>
  </si>
  <si>
    <t xml:space="preserve">Predicted: No Churn</t>
  </si>
  <si>
    <t xml:space="preserve">Predicted: Churn</t>
  </si>
  <si>
    <t xml:space="preserve">Total</t>
  </si>
  <si>
    <t xml:space="preserve">Precision / Recall</t>
  </si>
  <si>
    <t xml:space="preserve">Actual: No Churn</t>
  </si>
  <si>
    <t xml:space="preserve">Precision: 92.8%</t>
  </si>
  <si>
    <t xml:space="preserve">Actual: Churn</t>
  </si>
  <si>
    <t xml:space="preserve">Recall: 61.5%</t>
  </si>
  <si>
    <t xml:space="preserve">F1: 74.1%</t>
  </si>
  <si>
    <t xml:space="preserve">SHAP FEATURE IMPORTANCE — Top Churn Drivers</t>
  </si>
  <si>
    <t xml:space="preserve">Rank</t>
  </si>
  <si>
    <t xml:space="preserve">Feature</t>
  </si>
  <si>
    <t xml:space="preserve">Mean |SHAP| Value</t>
  </si>
  <si>
    <t xml:space="preserve">Direction</t>
  </si>
  <si>
    <t xml:space="preserve">Business Interpretation</t>
  </si>
  <si>
    <t xml:space="preserve">Action</t>
  </si>
  <si>
    <t xml:space="preserve">Contract (Month-to-month)</t>
  </si>
  <si>
    <t xml:space="preserve">Increases churn</t>
  </si>
  <si>
    <t xml:space="preserve">MTM customers are 4x more likely to churn than annual</t>
  </si>
  <si>
    <t xml:space="preserve">Incentivize annual contract switch</t>
  </si>
  <si>
    <t xml:space="preserve">Tenure (0-12 months)</t>
  </si>
  <si>
    <t xml:space="preserve">New customers churn at 43% vs 7% for 24+ month customers</t>
  </si>
  <si>
    <t xml:space="preserve">Intensive onboarding program for first 90 days</t>
  </si>
  <si>
    <t xml:space="preserve">TechSupport = No</t>
  </si>
  <si>
    <t xml:space="preserve">Customers without tech support churn at 2.8x the rate</t>
  </si>
  <si>
    <t xml:space="preserve">Proactive tech support bundle offer at month 6</t>
  </si>
  <si>
    <t xml:space="preserve">MonthlyCharges &gt; $80</t>
  </si>
  <si>
    <t xml:space="preserve">High-cost customers seek alternatives when value is unclear</t>
  </si>
  <si>
    <t xml:space="preserve">Value review call at month 3 for $80+ customers</t>
  </si>
  <si>
    <t xml:space="preserve">InternetService = Fiber</t>
  </si>
  <si>
    <t xml:space="preserve">Fiber customers churn more — potentially service quality</t>
  </si>
  <si>
    <t xml:space="preserve">Fiber service quality SLA review</t>
  </si>
  <si>
    <t xml:space="preserve">REVENUE AT RISK — Top 40 At-Risk Accounts</t>
  </si>
  <si>
    <t xml:space="preserve">Churn Probability × ARR = Revenue at Risk | Retention Playbook by Segment</t>
  </si>
  <si>
    <t xml:space="preserve">TOP 40 AT-RISK ACCOUNTS</t>
  </si>
  <si>
    <t xml:space="preserve">Account ID</t>
  </si>
  <si>
    <t xml:space="preserve">Tenure (mo)</t>
  </si>
  <si>
    <t xml:space="preserve">Monthly Charge $</t>
  </si>
  <si>
    <t xml:space="preserve">Annual ARR $</t>
  </si>
  <si>
    <t xml:space="preserve">Churn Prob %</t>
  </si>
  <si>
    <t xml:space="preserve">Rev at Risk $</t>
  </si>
  <si>
    <t xml:space="preserve">SHAP Top Driver</t>
  </si>
  <si>
    <t xml:space="preserve">Retention Action</t>
  </si>
  <si>
    <t xml:space="preserve">CUST-3504</t>
  </si>
  <si>
    <t xml:space="preserve">Fiber service</t>
  </si>
  <si>
    <t xml:space="preserve">Service quality audit</t>
  </si>
  <si>
    <t xml:space="preserve">CUST-8601</t>
  </si>
  <si>
    <t xml:space="preserve">High charges</t>
  </si>
  <si>
    <t xml:space="preserve">Value review call</t>
  </si>
  <si>
    <t xml:space="preserve">CUST-6295</t>
  </si>
  <si>
    <t xml:space="preserve">CUST-5961</t>
  </si>
  <si>
    <t xml:space="preserve">CUST-8404</t>
  </si>
  <si>
    <t xml:space="preserve">CUST-9307</t>
  </si>
  <si>
    <t xml:space="preserve">Contract type</t>
  </si>
  <si>
    <t xml:space="preserve">Offer annual discount</t>
  </si>
  <si>
    <t xml:space="preserve">CUST-8368</t>
  </si>
  <si>
    <t xml:space="preserve">CUST-2013</t>
  </si>
  <si>
    <t xml:space="preserve">Low tenure</t>
  </si>
  <si>
    <t xml:space="preserve">90-day success plan</t>
  </si>
  <si>
    <t xml:space="preserve">CUST-9266</t>
  </si>
  <si>
    <t xml:space="preserve">CUST-9586</t>
  </si>
  <si>
    <t xml:space="preserve">CUST-7697</t>
  </si>
  <si>
    <t xml:space="preserve">CUST-6401</t>
  </si>
  <si>
    <t xml:space="preserve">CUST-3463</t>
  </si>
  <si>
    <t xml:space="preserve">CUST-6082</t>
  </si>
  <si>
    <t xml:space="preserve">No tech support</t>
  </si>
  <si>
    <t xml:space="preserve">Bundle tech support</t>
  </si>
  <si>
    <t xml:space="preserve">CUST-6072</t>
  </si>
  <si>
    <t xml:space="preserve">CUST-9624</t>
  </si>
  <si>
    <t xml:space="preserve">CUST-3953</t>
  </si>
  <si>
    <t xml:space="preserve">CUST-3253</t>
  </si>
  <si>
    <t xml:space="preserve">CUST-9843</t>
  </si>
  <si>
    <t xml:space="preserve">CUST-3147</t>
  </si>
  <si>
    <t xml:space="preserve">CUST-3712</t>
  </si>
  <si>
    <t xml:space="preserve">CUST-8277</t>
  </si>
  <si>
    <t xml:space="preserve">CUST-9749</t>
  </si>
  <si>
    <t xml:space="preserve">CUST-7026</t>
  </si>
  <si>
    <t xml:space="preserve">CUST-9239</t>
  </si>
  <si>
    <t xml:space="preserve">CUST-3267</t>
  </si>
  <si>
    <t xml:space="preserve">CUST-2680</t>
  </si>
  <si>
    <t xml:space="preserve">CUST-5469</t>
  </si>
  <si>
    <t xml:space="preserve">CUST-8391</t>
  </si>
  <si>
    <t xml:space="preserve">CUST-4862</t>
  </si>
  <si>
    <t xml:space="preserve">CUST-6493</t>
  </si>
  <si>
    <t xml:space="preserve">CUST-3273</t>
  </si>
  <si>
    <t xml:space="preserve">CUST-1311</t>
  </si>
  <si>
    <t xml:space="preserve">CUST-9647</t>
  </si>
  <si>
    <t xml:space="preserve">CUST-1782</t>
  </si>
  <si>
    <t xml:space="preserve">CUST-2816</t>
  </si>
  <si>
    <t xml:space="preserve">CUST-3352</t>
  </si>
  <si>
    <t xml:space="preserve">CUST-7825</t>
  </si>
  <si>
    <t xml:space="preserve">CUST-9914</t>
  </si>
  <si>
    <t xml:space="preserve">CUST-1713</t>
  </si>
  <si>
    <t xml:space="preserve">TOTAL REVENUE AT RISK (Top 40 Accounts)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</si>
</sst>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0.0"/>
    <numFmt numFmtId="167" formatCode="\$#,##0"/>
    <numFmt numFmtId="168" formatCode="\$#,##0.00"/>
    <numFmt numFmtId="169" formatCode="\$#,##0"/>
    <numFmt numFmtId="170" formatCode="General"/>
    <numFmt numFmtId="171" formatCode="0.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14"/>
      <color rgb="FFE74C3C"/>
      <name val="Arial"/>
      <family val="0"/>
      <charset val="1"/>
    </font>
    <font>
      <b val="true"/>
      <sz val="14"/>
      <color rgb="FF17A589"/>
      <name val="Arial"/>
      <family val="0"/>
      <charset val="1"/>
    </font>
    <font>
      <b val="true"/>
      <sz val="14"/>
      <color rgb="FF2E5FA3"/>
      <name val="Arial"/>
      <family val="0"/>
      <charset val="1"/>
    </font>
    <font>
      <b val="true"/>
      <sz val="14"/>
      <color rgb="FFF39C12"/>
      <name val="Arial"/>
      <family val="0"/>
      <charset val="1"/>
    </font>
    <font>
      <b val="true"/>
      <sz val="14"/>
      <color rgb="FF8E44A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8F06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74C3C"/>
        <bgColor rgb="FFFF8080"/>
      </patternFill>
    </fill>
    <fill>
      <patternFill patternType="solid">
        <fgColor rgb="FFFADBD8"/>
        <bgColor rgb="FFE8DAEF"/>
      </patternFill>
    </fill>
    <fill>
      <patternFill patternType="solid">
        <fgColor rgb="FFF8F9FA"/>
        <bgColor rgb="FFFFFFFF"/>
      </patternFill>
    </fill>
    <fill>
      <patternFill patternType="solid">
        <fgColor rgb="FF2E5FA3"/>
        <bgColor rgb="FF3366FF"/>
      </patternFill>
    </fill>
    <fill>
      <patternFill patternType="solid">
        <fgColor rgb="FFD5F5E3"/>
        <bgColor rgb="FFD6E4F7"/>
      </patternFill>
    </fill>
    <fill>
      <patternFill patternType="solid">
        <fgColor rgb="FFD6E4F7"/>
        <bgColor rgb="FFE8DAEF"/>
      </patternFill>
    </fill>
    <fill>
      <patternFill patternType="solid">
        <fgColor rgb="FFFDEBD0"/>
        <bgColor rgb="FFFADBD8"/>
      </patternFill>
    </fill>
    <fill>
      <patternFill patternType="solid">
        <fgColor rgb="FFE8DAEF"/>
        <bgColor rgb="FFFADBD8"/>
      </patternFill>
    </fill>
    <fill>
      <patternFill patternType="solid">
        <fgColor rgb="FFFFFFFF"/>
        <bgColor rgb="FFF8F9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14" fillId="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7" fontId="15" fillId="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8E44AD"/>
      <rgbColor rgb="FFFDEBD0"/>
      <rgbColor rgb="FFF8F9FA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DAEF"/>
      <rgbColor rgb="FFD5F5E3"/>
      <rgbColor rgb="FFC8F06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E74C3C"/>
      <rgbColor rgb="FF666699"/>
      <rgbColor rgb="FF969696"/>
      <rgbColor rgb="FF003366"/>
      <rgbColor rgb="FF17A589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4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true" outlineLevel="0" collapsed="false">
      <c r="A9" s="3" t="s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2" customFormat="false" ht="24" hidden="false" customHeight="true" outlineLevel="0" collapsed="false">
      <c r="A12" s="4" t="s">
        <v>2</v>
      </c>
      <c r="B12" s="4"/>
      <c r="C12" s="4"/>
      <c r="D12" s="5" t="s">
        <v>3</v>
      </c>
      <c r="E12" s="5"/>
      <c r="F12" s="5"/>
      <c r="G12" s="5"/>
      <c r="H12" s="5"/>
      <c r="I12" s="5"/>
      <c r="J12" s="5"/>
      <c r="K12" s="5"/>
      <c r="L12" s="5"/>
    </row>
    <row r="14" customFormat="false" ht="24" hidden="false" customHeight="true" outlineLevel="0" collapsed="false">
      <c r="A14" s="4" t="s">
        <v>4</v>
      </c>
      <c r="B14" s="4"/>
      <c r="C14" s="4"/>
      <c r="D14" s="5" t="s">
        <v>5</v>
      </c>
      <c r="E14" s="5"/>
      <c r="F14" s="5"/>
      <c r="G14" s="5"/>
      <c r="H14" s="5"/>
      <c r="I14" s="5"/>
      <c r="J14" s="5"/>
      <c r="K14" s="5"/>
      <c r="L14" s="5"/>
    </row>
    <row r="16" customFormat="false" ht="24" hidden="false" customHeight="true" outlineLevel="0" collapsed="false">
      <c r="A16" s="4" t="s">
        <v>6</v>
      </c>
      <c r="B16" s="4"/>
      <c r="C16" s="4"/>
      <c r="D16" s="5" t="s">
        <v>7</v>
      </c>
      <c r="E16" s="5"/>
      <c r="F16" s="5"/>
      <c r="G16" s="5"/>
      <c r="H16" s="5"/>
      <c r="I16" s="5"/>
      <c r="J16" s="5"/>
      <c r="K16" s="5"/>
      <c r="L16" s="5"/>
    </row>
    <row r="18" customFormat="false" ht="24" hidden="false" customHeight="true" outlineLevel="0" collapsed="false">
      <c r="A18" s="4" t="s">
        <v>8</v>
      </c>
      <c r="B18" s="4"/>
      <c r="C18" s="4"/>
      <c r="D18" s="5" t="s">
        <v>9</v>
      </c>
      <c r="E18" s="5"/>
      <c r="F18" s="5"/>
      <c r="G18" s="5"/>
      <c r="H18" s="5"/>
      <c r="I18" s="5"/>
      <c r="J18" s="5"/>
      <c r="K18" s="5"/>
      <c r="L18" s="5"/>
    </row>
    <row r="20" customFormat="false" ht="24" hidden="false" customHeight="true" outlineLevel="0" collapsed="false">
      <c r="A20" s="4" t="s">
        <v>10</v>
      </c>
      <c r="B20" s="4"/>
      <c r="C20" s="4"/>
      <c r="D20" s="5" t="s">
        <v>11</v>
      </c>
      <c r="E20" s="5"/>
      <c r="F20" s="5"/>
      <c r="G20" s="5"/>
      <c r="H20" s="5"/>
      <c r="I20" s="5"/>
      <c r="J20" s="5"/>
      <c r="K20" s="5"/>
      <c r="L20" s="5"/>
    </row>
    <row r="22" customFormat="false" ht="24" hidden="false" customHeight="true" outlineLevel="0" collapsed="false">
      <c r="A22" s="4" t="s">
        <v>12</v>
      </c>
      <c r="B22" s="4"/>
      <c r="C22" s="4"/>
      <c r="D22" s="5" t="s">
        <v>13</v>
      </c>
      <c r="E22" s="5"/>
      <c r="F22" s="5"/>
      <c r="G22" s="5"/>
      <c r="H22" s="5"/>
      <c r="I22" s="5"/>
      <c r="J22" s="5"/>
      <c r="K22" s="5"/>
      <c r="L22" s="5"/>
    </row>
  </sheetData>
  <mergeCells count="14">
    <mergeCell ref="A1:L8"/>
    <mergeCell ref="A9:L10"/>
    <mergeCell ref="A12:C12"/>
    <mergeCell ref="D12:L12"/>
    <mergeCell ref="A14:C14"/>
    <mergeCell ref="D14:L14"/>
    <mergeCell ref="A16:C16"/>
    <mergeCell ref="D16:L16"/>
    <mergeCell ref="A18:C18"/>
    <mergeCell ref="D18:L18"/>
    <mergeCell ref="A20:C20"/>
    <mergeCell ref="D20:L20"/>
    <mergeCell ref="A22:C22"/>
    <mergeCell ref="D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6"/>
  </cols>
  <sheetData>
    <row r="1" customFormat="false" ht="31.5" hidden="false" customHeight="true" outlineLevel="0" collapsed="false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16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8" hidden="false" customHeight="true" outlineLevel="0" collapsed="false">
      <c r="A5" s="9" t="s">
        <v>17</v>
      </c>
      <c r="B5" s="10" t="s">
        <v>18</v>
      </c>
      <c r="C5" s="11" t="s">
        <v>19</v>
      </c>
      <c r="D5" s="12" t="s">
        <v>20</v>
      </c>
      <c r="E5" s="13" t="s">
        <v>21</v>
      </c>
    </row>
    <row r="6" customFormat="false" ht="25.5" hidden="false" customHeight="true" outlineLevel="0" collapsed="false">
      <c r="A6" s="14" t="n">
        <v>0.265</v>
      </c>
      <c r="B6" s="15" t="s">
        <v>22</v>
      </c>
      <c r="C6" s="16" t="n">
        <v>0.91</v>
      </c>
      <c r="D6" s="17" t="n">
        <v>340000</v>
      </c>
      <c r="E6" s="18" t="s">
        <v>23</v>
      </c>
    </row>
  </sheetData>
  <mergeCells count="3">
    <mergeCell ref="A1:L1"/>
    <mergeCell ref="A2:L2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1" min="10" style="1" width="12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22"/>
    <col collapsed="false" customWidth="true" hidden="false" outlineLevel="0" max="15" min="15" style="1" width="14"/>
    <col collapsed="false" customWidth="true" hidden="false" outlineLevel="0" max="16" min="16" style="1" width="12"/>
    <col collapsed="false" customWidth="true" hidden="false" outlineLevel="0" max="17" min="17" style="1" width="8"/>
  </cols>
  <sheetData>
    <row r="1" customFormat="false" ht="31.5" hidden="false" customHeight="true" outlineLevel="0" collapsed="false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21.75" hidden="false" customHeight="true" outlineLevel="0" collapsed="false">
      <c r="A4" s="19" t="s">
        <v>26</v>
      </c>
      <c r="B4" s="19" t="s">
        <v>27</v>
      </c>
      <c r="C4" s="19" t="s">
        <v>28</v>
      </c>
      <c r="D4" s="19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19" t="s">
        <v>34</v>
      </c>
      <c r="J4" s="19" t="s">
        <v>35</v>
      </c>
      <c r="K4" s="19" t="s">
        <v>36</v>
      </c>
      <c r="L4" s="19" t="s">
        <v>37</v>
      </c>
      <c r="M4" s="19" t="s">
        <v>38</v>
      </c>
      <c r="N4" s="19" t="s">
        <v>39</v>
      </c>
      <c r="O4" s="19" t="s">
        <v>40</v>
      </c>
      <c r="P4" s="19" t="s">
        <v>41</v>
      </c>
      <c r="Q4" s="19" t="s">
        <v>42</v>
      </c>
    </row>
    <row r="5" customFormat="false" ht="15" hidden="false" customHeight="true" outlineLevel="0" collapsed="false">
      <c r="A5" s="20" t="s">
        <v>43</v>
      </c>
      <c r="B5" s="20" t="s">
        <v>44</v>
      </c>
      <c r="C5" s="20" t="n">
        <v>0</v>
      </c>
      <c r="D5" s="20" t="s">
        <v>45</v>
      </c>
      <c r="E5" s="20" t="s">
        <v>46</v>
      </c>
      <c r="F5" s="20" t="n">
        <v>1</v>
      </c>
      <c r="G5" s="20" t="s">
        <v>46</v>
      </c>
      <c r="H5" s="20" t="s">
        <v>47</v>
      </c>
      <c r="I5" s="20" t="s">
        <v>46</v>
      </c>
      <c r="J5" s="20" t="s">
        <v>46</v>
      </c>
      <c r="K5" s="20" t="s">
        <v>46</v>
      </c>
      <c r="L5" s="20" t="s">
        <v>48</v>
      </c>
      <c r="M5" s="20" t="s">
        <v>45</v>
      </c>
      <c r="N5" s="20" t="s">
        <v>49</v>
      </c>
      <c r="O5" s="21" t="n">
        <v>29.85</v>
      </c>
      <c r="P5" s="21" t="n">
        <v>29.85</v>
      </c>
      <c r="Q5" s="20" t="s">
        <v>46</v>
      </c>
    </row>
    <row r="6" customFormat="false" ht="15" hidden="false" customHeight="true" outlineLevel="0" collapsed="false">
      <c r="A6" s="22" t="s">
        <v>50</v>
      </c>
      <c r="B6" s="22" t="s">
        <v>51</v>
      </c>
      <c r="C6" s="22" t="n">
        <v>0</v>
      </c>
      <c r="D6" s="22" t="s">
        <v>46</v>
      </c>
      <c r="E6" s="22" t="s">
        <v>46</v>
      </c>
      <c r="F6" s="22" t="n">
        <v>34</v>
      </c>
      <c r="G6" s="22" t="s">
        <v>45</v>
      </c>
      <c r="H6" s="22" t="s">
        <v>47</v>
      </c>
      <c r="I6" s="22" t="s">
        <v>45</v>
      </c>
      <c r="J6" s="22" t="s">
        <v>46</v>
      </c>
      <c r="K6" s="22" t="s">
        <v>46</v>
      </c>
      <c r="L6" s="22" t="s">
        <v>52</v>
      </c>
      <c r="M6" s="22" t="s">
        <v>46</v>
      </c>
      <c r="N6" s="22" t="s">
        <v>53</v>
      </c>
      <c r="O6" s="23" t="n">
        <v>56.95</v>
      </c>
      <c r="P6" s="23" t="n">
        <v>1889.5</v>
      </c>
      <c r="Q6" s="22" t="s">
        <v>46</v>
      </c>
    </row>
    <row r="7" customFormat="false" ht="15" hidden="false" customHeight="true" outlineLevel="0" collapsed="false">
      <c r="A7" s="24" t="s">
        <v>54</v>
      </c>
      <c r="B7" s="24" t="s">
        <v>51</v>
      </c>
      <c r="C7" s="24" t="n">
        <v>0</v>
      </c>
      <c r="D7" s="24" t="s">
        <v>46</v>
      </c>
      <c r="E7" s="24" t="s">
        <v>46</v>
      </c>
      <c r="F7" s="24" t="n">
        <v>2</v>
      </c>
      <c r="G7" s="24" t="s">
        <v>45</v>
      </c>
      <c r="H7" s="24" t="s">
        <v>47</v>
      </c>
      <c r="I7" s="24" t="s">
        <v>45</v>
      </c>
      <c r="J7" s="24" t="s">
        <v>45</v>
      </c>
      <c r="K7" s="24" t="s">
        <v>46</v>
      </c>
      <c r="L7" s="24" t="s">
        <v>48</v>
      </c>
      <c r="M7" s="24" t="s">
        <v>45</v>
      </c>
      <c r="N7" s="24" t="s">
        <v>53</v>
      </c>
      <c r="O7" s="25" t="n">
        <v>53.85</v>
      </c>
      <c r="P7" s="25" t="n">
        <v>108.15</v>
      </c>
      <c r="Q7" s="24" t="s">
        <v>45</v>
      </c>
    </row>
    <row r="8" customFormat="false" ht="15" hidden="false" customHeight="true" outlineLevel="0" collapsed="false">
      <c r="A8" s="22" t="s">
        <v>55</v>
      </c>
      <c r="B8" s="22" t="s">
        <v>51</v>
      </c>
      <c r="C8" s="22" t="n">
        <v>0</v>
      </c>
      <c r="D8" s="22" t="s">
        <v>46</v>
      </c>
      <c r="E8" s="22" t="s">
        <v>46</v>
      </c>
      <c r="F8" s="22" t="n">
        <v>45</v>
      </c>
      <c r="G8" s="22" t="s">
        <v>46</v>
      </c>
      <c r="H8" s="22" t="s">
        <v>47</v>
      </c>
      <c r="I8" s="22" t="s">
        <v>45</v>
      </c>
      <c r="J8" s="22" t="s">
        <v>45</v>
      </c>
      <c r="K8" s="22" t="s">
        <v>46</v>
      </c>
      <c r="L8" s="22" t="s">
        <v>52</v>
      </c>
      <c r="M8" s="22" t="s">
        <v>46</v>
      </c>
      <c r="N8" s="22" t="s">
        <v>56</v>
      </c>
      <c r="O8" s="23" t="n">
        <v>42.3</v>
      </c>
      <c r="P8" s="23" t="n">
        <v>1840.75</v>
      </c>
      <c r="Q8" s="22" t="s">
        <v>46</v>
      </c>
    </row>
    <row r="9" customFormat="false" ht="15" hidden="false" customHeight="true" outlineLevel="0" collapsed="false">
      <c r="A9" s="24" t="s">
        <v>57</v>
      </c>
      <c r="B9" s="24" t="s">
        <v>44</v>
      </c>
      <c r="C9" s="24" t="n">
        <v>0</v>
      </c>
      <c r="D9" s="24" t="s">
        <v>46</v>
      </c>
      <c r="E9" s="24" t="s">
        <v>46</v>
      </c>
      <c r="F9" s="24" t="n">
        <v>2</v>
      </c>
      <c r="G9" s="24" t="s">
        <v>45</v>
      </c>
      <c r="H9" s="24" t="s">
        <v>58</v>
      </c>
      <c r="I9" s="24" t="s">
        <v>46</v>
      </c>
      <c r="J9" s="24" t="s">
        <v>46</v>
      </c>
      <c r="K9" s="24" t="s">
        <v>46</v>
      </c>
      <c r="L9" s="24" t="s">
        <v>48</v>
      </c>
      <c r="M9" s="24" t="s">
        <v>45</v>
      </c>
      <c r="N9" s="24" t="s">
        <v>49</v>
      </c>
      <c r="O9" s="25" t="n">
        <v>70.7</v>
      </c>
      <c r="P9" s="25" t="n">
        <v>151.65</v>
      </c>
      <c r="Q9" s="24" t="s">
        <v>45</v>
      </c>
    </row>
    <row r="15" customFormat="false" ht="18" hidden="false" customHeight="true" outlineLevel="0" collapsed="false">
      <c r="A15" s="22" t="s">
        <v>59</v>
      </c>
      <c r="B15" s="22" t="s">
        <v>51</v>
      </c>
      <c r="C15" s="22" t="n">
        <v>1</v>
      </c>
      <c r="D15" s="22" t="s">
        <v>45</v>
      </c>
      <c r="E15" s="22" t="s">
        <v>45</v>
      </c>
      <c r="F15" s="22" t="n">
        <v>22</v>
      </c>
      <c r="G15" s="22" t="s">
        <v>45</v>
      </c>
      <c r="H15" s="22" t="s">
        <v>58</v>
      </c>
      <c r="I15" s="22" t="s">
        <v>45</v>
      </c>
      <c r="J15" s="22" t="s">
        <v>45</v>
      </c>
      <c r="K15" s="22" t="s">
        <v>45</v>
      </c>
      <c r="L15" s="22" t="s">
        <v>60</v>
      </c>
      <c r="M15" s="22" t="s">
        <v>46</v>
      </c>
      <c r="N15" s="22" t="s">
        <v>49</v>
      </c>
      <c r="O15" s="23" t="n">
        <v>85.89</v>
      </c>
      <c r="P15" s="23" t="n">
        <v>1885.26</v>
      </c>
      <c r="Q15" s="22" t="s">
        <v>46</v>
      </c>
    </row>
    <row r="16" customFormat="false" ht="18" hidden="false" customHeight="true" outlineLevel="0" collapsed="false">
      <c r="A16" s="20" t="s">
        <v>61</v>
      </c>
      <c r="B16" s="20" t="s">
        <v>44</v>
      </c>
      <c r="C16" s="20" t="n">
        <v>0</v>
      </c>
      <c r="D16" s="20" t="s">
        <v>45</v>
      </c>
      <c r="E16" s="20" t="s">
        <v>45</v>
      </c>
      <c r="F16" s="20" t="n">
        <v>54</v>
      </c>
      <c r="G16" s="20" t="s">
        <v>45</v>
      </c>
      <c r="H16" s="20" t="s">
        <v>58</v>
      </c>
      <c r="I16" s="20" t="s">
        <v>46</v>
      </c>
      <c r="J16" s="20" t="s">
        <v>45</v>
      </c>
      <c r="K16" s="20" t="s">
        <v>45</v>
      </c>
      <c r="L16" s="20" t="s">
        <v>52</v>
      </c>
      <c r="M16" s="20" t="s">
        <v>46</v>
      </c>
      <c r="N16" s="20" t="s">
        <v>49</v>
      </c>
      <c r="O16" s="21" t="n">
        <v>108.61</v>
      </c>
      <c r="P16" s="21" t="n">
        <v>5866.45</v>
      </c>
      <c r="Q16" s="20" t="s">
        <v>46</v>
      </c>
    </row>
    <row r="17" customFormat="false" ht="18" hidden="false" customHeight="true" outlineLevel="0" collapsed="false">
      <c r="A17" s="24" t="s">
        <v>62</v>
      </c>
      <c r="B17" s="24" t="s">
        <v>44</v>
      </c>
      <c r="C17" s="24" t="n">
        <v>1</v>
      </c>
      <c r="D17" s="24" t="s">
        <v>46</v>
      </c>
      <c r="E17" s="24" t="s">
        <v>45</v>
      </c>
      <c r="F17" s="24" t="n">
        <v>32</v>
      </c>
      <c r="G17" s="24" t="s">
        <v>45</v>
      </c>
      <c r="H17" s="24" t="s">
        <v>46</v>
      </c>
      <c r="I17" s="24" t="s">
        <v>46</v>
      </c>
      <c r="J17" s="24" t="s">
        <v>46</v>
      </c>
      <c r="K17" s="24" t="s">
        <v>46</v>
      </c>
      <c r="L17" s="24" t="s">
        <v>60</v>
      </c>
      <c r="M17" s="24" t="s">
        <v>45</v>
      </c>
      <c r="N17" s="24" t="s">
        <v>56</v>
      </c>
      <c r="O17" s="25" t="n">
        <v>111.75</v>
      </c>
      <c r="P17" s="25" t="n">
        <v>3568.43</v>
      </c>
      <c r="Q17" s="24" t="s">
        <v>45</v>
      </c>
    </row>
    <row r="18" customFormat="false" ht="18" hidden="false" customHeight="true" outlineLevel="0" collapsed="false">
      <c r="A18" s="24" t="s">
        <v>63</v>
      </c>
      <c r="B18" s="24" t="s">
        <v>44</v>
      </c>
      <c r="C18" s="24" t="n">
        <v>1</v>
      </c>
      <c r="D18" s="24" t="s">
        <v>46</v>
      </c>
      <c r="E18" s="24" t="s">
        <v>45</v>
      </c>
      <c r="F18" s="24" t="n">
        <v>63</v>
      </c>
      <c r="G18" s="24" t="s">
        <v>45</v>
      </c>
      <c r="H18" s="24" t="s">
        <v>58</v>
      </c>
      <c r="I18" s="24" t="s">
        <v>45</v>
      </c>
      <c r="J18" s="24" t="s">
        <v>45</v>
      </c>
      <c r="K18" s="24" t="s">
        <v>46</v>
      </c>
      <c r="L18" s="24" t="s">
        <v>60</v>
      </c>
      <c r="M18" s="24" t="s">
        <v>45</v>
      </c>
      <c r="N18" s="24" t="s">
        <v>53</v>
      </c>
      <c r="O18" s="25" t="n">
        <v>82.67</v>
      </c>
      <c r="P18" s="25" t="n">
        <v>5203.7</v>
      </c>
      <c r="Q18" s="24" t="s">
        <v>45</v>
      </c>
    </row>
    <row r="19" customFormat="false" ht="18" hidden="false" customHeight="true" outlineLevel="0" collapsed="false">
      <c r="A19" s="22" t="s">
        <v>64</v>
      </c>
      <c r="B19" s="22" t="s">
        <v>44</v>
      </c>
      <c r="C19" s="22" t="n">
        <v>0</v>
      </c>
      <c r="D19" s="22" t="s">
        <v>46</v>
      </c>
      <c r="E19" s="22" t="s">
        <v>46</v>
      </c>
      <c r="F19" s="22" t="n">
        <v>14</v>
      </c>
      <c r="G19" s="22" t="s">
        <v>45</v>
      </c>
      <c r="H19" s="22" t="s">
        <v>58</v>
      </c>
      <c r="I19" s="22" t="s">
        <v>46</v>
      </c>
      <c r="J19" s="22" t="s">
        <v>46</v>
      </c>
      <c r="K19" s="22" t="s">
        <v>46</v>
      </c>
      <c r="L19" s="22" t="s">
        <v>48</v>
      </c>
      <c r="M19" s="22" t="s">
        <v>46</v>
      </c>
      <c r="N19" s="22" t="s">
        <v>53</v>
      </c>
      <c r="O19" s="23" t="n">
        <v>60.76</v>
      </c>
      <c r="P19" s="23" t="n">
        <v>851.49</v>
      </c>
      <c r="Q19" s="22" t="s">
        <v>46</v>
      </c>
    </row>
    <row r="20" customFormat="false" ht="18" hidden="false" customHeight="true" outlineLevel="0" collapsed="false">
      <c r="A20" s="20" t="s">
        <v>65</v>
      </c>
      <c r="B20" s="20" t="s">
        <v>44</v>
      </c>
      <c r="C20" s="20" t="n">
        <v>0</v>
      </c>
      <c r="D20" s="20" t="s">
        <v>45</v>
      </c>
      <c r="E20" s="20" t="s">
        <v>46</v>
      </c>
      <c r="F20" s="20" t="n">
        <v>29</v>
      </c>
      <c r="G20" s="20" t="s">
        <v>45</v>
      </c>
      <c r="H20" s="20" t="s">
        <v>46</v>
      </c>
      <c r="I20" s="20" t="s">
        <v>45</v>
      </c>
      <c r="J20" s="20" t="s">
        <v>45</v>
      </c>
      <c r="K20" s="20" t="s">
        <v>46</v>
      </c>
      <c r="L20" s="20" t="s">
        <v>52</v>
      </c>
      <c r="M20" s="20" t="s">
        <v>45</v>
      </c>
      <c r="N20" s="20" t="s">
        <v>66</v>
      </c>
      <c r="O20" s="21" t="n">
        <v>47.29</v>
      </c>
      <c r="P20" s="21" t="n">
        <v>1371.12</v>
      </c>
      <c r="Q20" s="20" t="s">
        <v>46</v>
      </c>
    </row>
    <row r="21" customFormat="false" ht="18" hidden="false" customHeight="true" outlineLevel="0" collapsed="false">
      <c r="A21" s="22" t="s">
        <v>67</v>
      </c>
      <c r="B21" s="22" t="s">
        <v>44</v>
      </c>
      <c r="C21" s="22" t="n">
        <v>1</v>
      </c>
      <c r="D21" s="22" t="s">
        <v>46</v>
      </c>
      <c r="E21" s="22" t="s">
        <v>45</v>
      </c>
      <c r="F21" s="22" t="n">
        <v>2</v>
      </c>
      <c r="G21" s="22" t="s">
        <v>45</v>
      </c>
      <c r="H21" s="22" t="s">
        <v>47</v>
      </c>
      <c r="I21" s="22" t="s">
        <v>45</v>
      </c>
      <c r="J21" s="22" t="s">
        <v>45</v>
      </c>
      <c r="K21" s="22" t="s">
        <v>46</v>
      </c>
      <c r="L21" s="22" t="s">
        <v>48</v>
      </c>
      <c r="M21" s="22" t="s">
        <v>45</v>
      </c>
      <c r="N21" s="22" t="s">
        <v>49</v>
      </c>
      <c r="O21" s="23" t="n">
        <v>46.02</v>
      </c>
      <c r="P21" s="23" t="n">
        <v>88.59</v>
      </c>
      <c r="Q21" s="22" t="s">
        <v>46</v>
      </c>
    </row>
    <row r="22" customFormat="false" ht="18" hidden="false" customHeight="true" outlineLevel="0" collapsed="false">
      <c r="A22" s="24" t="s">
        <v>68</v>
      </c>
      <c r="B22" s="24" t="s">
        <v>51</v>
      </c>
      <c r="C22" s="24" t="n">
        <v>0</v>
      </c>
      <c r="D22" s="24" t="s">
        <v>46</v>
      </c>
      <c r="E22" s="24" t="s">
        <v>45</v>
      </c>
      <c r="F22" s="24" t="n">
        <v>6</v>
      </c>
      <c r="G22" s="24" t="s">
        <v>45</v>
      </c>
      <c r="H22" s="24" t="s">
        <v>46</v>
      </c>
      <c r="I22" s="24" t="s">
        <v>45</v>
      </c>
      <c r="J22" s="24" t="s">
        <v>46</v>
      </c>
      <c r="K22" s="24" t="s">
        <v>46</v>
      </c>
      <c r="L22" s="24" t="s">
        <v>60</v>
      </c>
      <c r="M22" s="24" t="s">
        <v>46</v>
      </c>
      <c r="N22" s="24" t="s">
        <v>53</v>
      </c>
      <c r="O22" s="25" t="n">
        <v>95.42</v>
      </c>
      <c r="P22" s="25" t="n">
        <v>581.51</v>
      </c>
      <c r="Q22" s="24" t="s">
        <v>45</v>
      </c>
    </row>
    <row r="23" customFormat="false" ht="18" hidden="false" customHeight="true" outlineLevel="0" collapsed="false">
      <c r="A23" s="22" t="s">
        <v>69</v>
      </c>
      <c r="B23" s="22" t="s">
        <v>44</v>
      </c>
      <c r="C23" s="22" t="n">
        <v>1</v>
      </c>
      <c r="D23" s="22" t="s">
        <v>45</v>
      </c>
      <c r="E23" s="22" t="s">
        <v>45</v>
      </c>
      <c r="F23" s="22" t="n">
        <v>15</v>
      </c>
      <c r="G23" s="22" t="s">
        <v>45</v>
      </c>
      <c r="H23" s="22" t="s">
        <v>46</v>
      </c>
      <c r="I23" s="22" t="s">
        <v>45</v>
      </c>
      <c r="J23" s="22" t="s">
        <v>45</v>
      </c>
      <c r="K23" s="22" t="s">
        <v>46</v>
      </c>
      <c r="L23" s="22" t="s">
        <v>60</v>
      </c>
      <c r="M23" s="22" t="s">
        <v>45</v>
      </c>
      <c r="N23" s="22" t="s">
        <v>49</v>
      </c>
      <c r="O23" s="23" t="n">
        <v>97.78</v>
      </c>
      <c r="P23" s="23" t="n">
        <v>1459.98</v>
      </c>
      <c r="Q23" s="22" t="s">
        <v>46</v>
      </c>
    </row>
    <row r="24" customFormat="false" ht="18" hidden="false" customHeight="true" outlineLevel="0" collapsed="false">
      <c r="A24" s="20" t="s">
        <v>70</v>
      </c>
      <c r="B24" s="20" t="s">
        <v>44</v>
      </c>
      <c r="C24" s="20" t="n">
        <v>1</v>
      </c>
      <c r="D24" s="20" t="s">
        <v>45</v>
      </c>
      <c r="E24" s="20" t="s">
        <v>46</v>
      </c>
      <c r="F24" s="20" t="n">
        <v>69</v>
      </c>
      <c r="G24" s="20" t="s">
        <v>45</v>
      </c>
      <c r="H24" s="20" t="s">
        <v>47</v>
      </c>
      <c r="I24" s="20" t="s">
        <v>46</v>
      </c>
      <c r="J24" s="20" t="s">
        <v>45</v>
      </c>
      <c r="K24" s="20" t="s">
        <v>46</v>
      </c>
      <c r="L24" s="20" t="s">
        <v>52</v>
      </c>
      <c r="M24" s="20" t="s">
        <v>45</v>
      </c>
      <c r="N24" s="20" t="s">
        <v>56</v>
      </c>
      <c r="O24" s="21" t="n">
        <v>62.84</v>
      </c>
      <c r="P24" s="21" t="n">
        <v>4333.37</v>
      </c>
      <c r="Q24" s="20" t="s">
        <v>46</v>
      </c>
    </row>
    <row r="25" customFormat="false" ht="18" hidden="false" customHeight="true" outlineLevel="0" collapsed="false">
      <c r="A25" s="22" t="s">
        <v>71</v>
      </c>
      <c r="B25" s="22" t="s">
        <v>51</v>
      </c>
      <c r="C25" s="22" t="n">
        <v>0</v>
      </c>
      <c r="D25" s="22" t="s">
        <v>46</v>
      </c>
      <c r="E25" s="22" t="s">
        <v>46</v>
      </c>
      <c r="F25" s="22" t="n">
        <v>69</v>
      </c>
      <c r="G25" s="22" t="s">
        <v>45</v>
      </c>
      <c r="H25" s="22" t="s">
        <v>58</v>
      </c>
      <c r="I25" s="22" t="s">
        <v>46</v>
      </c>
      <c r="J25" s="22" t="s">
        <v>46</v>
      </c>
      <c r="K25" s="22" t="s">
        <v>46</v>
      </c>
      <c r="L25" s="22" t="s">
        <v>60</v>
      </c>
      <c r="M25" s="22" t="s">
        <v>45</v>
      </c>
      <c r="N25" s="22" t="s">
        <v>66</v>
      </c>
      <c r="O25" s="23" t="n">
        <v>97.46</v>
      </c>
      <c r="P25" s="23" t="n">
        <v>6724.04</v>
      </c>
      <c r="Q25" s="22" t="s">
        <v>46</v>
      </c>
    </row>
    <row r="26" customFormat="false" ht="18" hidden="false" customHeight="true" outlineLevel="0" collapsed="false">
      <c r="A26" s="20" t="s">
        <v>72</v>
      </c>
      <c r="B26" s="20" t="s">
        <v>51</v>
      </c>
      <c r="C26" s="20" t="n">
        <v>0</v>
      </c>
      <c r="D26" s="20" t="s">
        <v>45</v>
      </c>
      <c r="E26" s="20" t="s">
        <v>45</v>
      </c>
      <c r="F26" s="20" t="n">
        <v>24</v>
      </c>
      <c r="G26" s="20" t="s">
        <v>45</v>
      </c>
      <c r="H26" s="20" t="s">
        <v>46</v>
      </c>
      <c r="I26" s="20" t="s">
        <v>46</v>
      </c>
      <c r="J26" s="20" t="s">
        <v>46</v>
      </c>
      <c r="K26" s="20" t="s">
        <v>45</v>
      </c>
      <c r="L26" s="20" t="s">
        <v>52</v>
      </c>
      <c r="M26" s="20" t="s">
        <v>46</v>
      </c>
      <c r="N26" s="20" t="s">
        <v>66</v>
      </c>
      <c r="O26" s="21" t="n">
        <v>68.75</v>
      </c>
      <c r="P26" s="21" t="n">
        <v>1647.1</v>
      </c>
      <c r="Q26" s="20" t="s">
        <v>46</v>
      </c>
    </row>
    <row r="27" customFormat="false" ht="18" hidden="false" customHeight="true" outlineLevel="0" collapsed="false">
      <c r="A27" s="22" t="s">
        <v>73</v>
      </c>
      <c r="B27" s="22" t="s">
        <v>44</v>
      </c>
      <c r="C27" s="22" t="n">
        <v>1</v>
      </c>
      <c r="D27" s="22" t="s">
        <v>46</v>
      </c>
      <c r="E27" s="22" t="s">
        <v>46</v>
      </c>
      <c r="F27" s="22" t="n">
        <v>3</v>
      </c>
      <c r="G27" s="22" t="s">
        <v>45</v>
      </c>
      <c r="H27" s="22" t="s">
        <v>47</v>
      </c>
      <c r="I27" s="22" t="s">
        <v>46</v>
      </c>
      <c r="J27" s="22" t="s">
        <v>46</v>
      </c>
      <c r="K27" s="22" t="s">
        <v>46</v>
      </c>
      <c r="L27" s="22" t="s">
        <v>52</v>
      </c>
      <c r="M27" s="22" t="s">
        <v>46</v>
      </c>
      <c r="N27" s="22" t="s">
        <v>53</v>
      </c>
      <c r="O27" s="23" t="n">
        <v>29.31</v>
      </c>
      <c r="P27" s="23" t="n">
        <v>82.36</v>
      </c>
      <c r="Q27" s="22" t="s">
        <v>46</v>
      </c>
    </row>
    <row r="28" customFormat="false" ht="18" hidden="false" customHeight="true" outlineLevel="0" collapsed="false">
      <c r="A28" s="20" t="s">
        <v>74</v>
      </c>
      <c r="B28" s="20" t="s">
        <v>51</v>
      </c>
      <c r="C28" s="20" t="n">
        <v>1</v>
      </c>
      <c r="D28" s="20" t="s">
        <v>46</v>
      </c>
      <c r="E28" s="20" t="s">
        <v>46</v>
      </c>
      <c r="F28" s="20" t="n">
        <v>24</v>
      </c>
      <c r="G28" s="20" t="s">
        <v>45</v>
      </c>
      <c r="H28" s="20" t="s">
        <v>58</v>
      </c>
      <c r="I28" s="20" t="s">
        <v>45</v>
      </c>
      <c r="J28" s="20" t="s">
        <v>46</v>
      </c>
      <c r="K28" s="20" t="s">
        <v>45</v>
      </c>
      <c r="L28" s="20" t="s">
        <v>48</v>
      </c>
      <c r="M28" s="20" t="s">
        <v>46</v>
      </c>
      <c r="N28" s="20" t="s">
        <v>53</v>
      </c>
      <c r="O28" s="21" t="n">
        <v>39.26</v>
      </c>
      <c r="P28" s="21" t="n">
        <v>934.63</v>
      </c>
      <c r="Q28" s="20" t="s">
        <v>46</v>
      </c>
    </row>
    <row r="29" customFormat="false" ht="18" hidden="false" customHeight="true" outlineLevel="0" collapsed="false">
      <c r="A29" s="24" t="s">
        <v>75</v>
      </c>
      <c r="B29" s="24" t="s">
        <v>51</v>
      </c>
      <c r="C29" s="24" t="n">
        <v>1</v>
      </c>
      <c r="D29" s="24" t="s">
        <v>45</v>
      </c>
      <c r="E29" s="24" t="s">
        <v>45</v>
      </c>
      <c r="F29" s="24" t="n">
        <v>2</v>
      </c>
      <c r="G29" s="24" t="s">
        <v>45</v>
      </c>
      <c r="H29" s="24" t="s">
        <v>46</v>
      </c>
      <c r="I29" s="24" t="s">
        <v>46</v>
      </c>
      <c r="J29" s="24" t="s">
        <v>46</v>
      </c>
      <c r="K29" s="24" t="s">
        <v>46</v>
      </c>
      <c r="L29" s="24" t="s">
        <v>52</v>
      </c>
      <c r="M29" s="24" t="s">
        <v>46</v>
      </c>
      <c r="N29" s="24" t="s">
        <v>56</v>
      </c>
      <c r="O29" s="25" t="n">
        <v>90.8</v>
      </c>
      <c r="P29" s="25" t="n">
        <v>174.13</v>
      </c>
      <c r="Q29" s="24" t="s">
        <v>45</v>
      </c>
    </row>
    <row r="30" customFormat="false" ht="18" hidden="false" customHeight="true" outlineLevel="0" collapsed="false">
      <c r="A30" s="24" t="s">
        <v>76</v>
      </c>
      <c r="B30" s="24" t="s">
        <v>44</v>
      </c>
      <c r="C30" s="24" t="n">
        <v>0</v>
      </c>
      <c r="D30" s="24" t="s">
        <v>45</v>
      </c>
      <c r="E30" s="24" t="s">
        <v>45</v>
      </c>
      <c r="F30" s="24" t="n">
        <v>2</v>
      </c>
      <c r="G30" s="24" t="s">
        <v>45</v>
      </c>
      <c r="H30" s="24" t="s">
        <v>58</v>
      </c>
      <c r="I30" s="24" t="s">
        <v>46</v>
      </c>
      <c r="J30" s="24" t="s">
        <v>45</v>
      </c>
      <c r="K30" s="24" t="s">
        <v>45</v>
      </c>
      <c r="L30" s="24" t="s">
        <v>48</v>
      </c>
      <c r="M30" s="24" t="s">
        <v>45</v>
      </c>
      <c r="N30" s="24" t="s">
        <v>66</v>
      </c>
      <c r="O30" s="25" t="n">
        <v>45.25</v>
      </c>
      <c r="P30" s="25" t="n">
        <v>97.73</v>
      </c>
      <c r="Q30" s="24" t="s">
        <v>45</v>
      </c>
    </row>
    <row r="31" customFormat="false" ht="18" hidden="false" customHeight="true" outlineLevel="0" collapsed="false">
      <c r="A31" s="22" t="s">
        <v>77</v>
      </c>
      <c r="B31" s="22" t="s">
        <v>44</v>
      </c>
      <c r="C31" s="22" t="n">
        <v>0</v>
      </c>
      <c r="D31" s="22" t="s">
        <v>45</v>
      </c>
      <c r="E31" s="22" t="s">
        <v>45</v>
      </c>
      <c r="F31" s="22" t="n">
        <v>29</v>
      </c>
      <c r="G31" s="22" t="s">
        <v>45</v>
      </c>
      <c r="H31" s="22" t="s">
        <v>46</v>
      </c>
      <c r="I31" s="22" t="s">
        <v>45</v>
      </c>
      <c r="J31" s="22" t="s">
        <v>46</v>
      </c>
      <c r="K31" s="22" t="s">
        <v>45</v>
      </c>
      <c r="L31" s="22" t="s">
        <v>60</v>
      </c>
      <c r="M31" s="22" t="s">
        <v>45</v>
      </c>
      <c r="N31" s="22" t="s">
        <v>53</v>
      </c>
      <c r="O31" s="23" t="n">
        <v>97.57</v>
      </c>
      <c r="P31" s="23" t="n">
        <v>2827.14</v>
      </c>
      <c r="Q31" s="22" t="s">
        <v>46</v>
      </c>
    </row>
    <row r="32" customFormat="false" ht="18" hidden="false" customHeight="true" outlineLevel="0" collapsed="false">
      <c r="A32" s="20" t="s">
        <v>78</v>
      </c>
      <c r="B32" s="20" t="s">
        <v>51</v>
      </c>
      <c r="C32" s="20" t="n">
        <v>0</v>
      </c>
      <c r="D32" s="20" t="s">
        <v>46</v>
      </c>
      <c r="E32" s="20" t="s">
        <v>46</v>
      </c>
      <c r="F32" s="20" t="n">
        <v>18</v>
      </c>
      <c r="G32" s="20" t="s">
        <v>45</v>
      </c>
      <c r="H32" s="20" t="s">
        <v>46</v>
      </c>
      <c r="I32" s="20" t="s">
        <v>46</v>
      </c>
      <c r="J32" s="20" t="s">
        <v>45</v>
      </c>
      <c r="K32" s="20" t="s">
        <v>45</v>
      </c>
      <c r="L32" s="20" t="s">
        <v>48</v>
      </c>
      <c r="M32" s="20" t="s">
        <v>46</v>
      </c>
      <c r="N32" s="20" t="s">
        <v>53</v>
      </c>
      <c r="O32" s="21" t="n">
        <v>27.51</v>
      </c>
      <c r="P32" s="21" t="n">
        <v>485.23</v>
      </c>
      <c r="Q32" s="20" t="s">
        <v>46</v>
      </c>
    </row>
    <row r="33" customFormat="false" ht="18" hidden="false" customHeight="true" outlineLevel="0" collapsed="false">
      <c r="A33" s="22" t="s">
        <v>79</v>
      </c>
      <c r="B33" s="22" t="s">
        <v>51</v>
      </c>
      <c r="C33" s="22" t="n">
        <v>0</v>
      </c>
      <c r="D33" s="22" t="s">
        <v>46</v>
      </c>
      <c r="E33" s="22" t="s">
        <v>46</v>
      </c>
      <c r="F33" s="22" t="n">
        <v>15</v>
      </c>
      <c r="G33" s="22" t="s">
        <v>45</v>
      </c>
      <c r="H33" s="22" t="s">
        <v>47</v>
      </c>
      <c r="I33" s="22" t="s">
        <v>45</v>
      </c>
      <c r="J33" s="22" t="s">
        <v>46</v>
      </c>
      <c r="K33" s="22" t="s">
        <v>46</v>
      </c>
      <c r="L33" s="22" t="s">
        <v>52</v>
      </c>
      <c r="M33" s="22" t="s">
        <v>46</v>
      </c>
      <c r="N33" s="22" t="s">
        <v>56</v>
      </c>
      <c r="O33" s="23" t="n">
        <v>74.46</v>
      </c>
      <c r="P33" s="23" t="n">
        <v>1119.85</v>
      </c>
      <c r="Q33" s="22" t="s">
        <v>46</v>
      </c>
    </row>
    <row r="34" customFormat="false" ht="18" hidden="false" customHeight="true" outlineLevel="0" collapsed="false">
      <c r="A34" s="24" t="s">
        <v>80</v>
      </c>
      <c r="B34" s="24" t="s">
        <v>44</v>
      </c>
      <c r="C34" s="24" t="n">
        <v>0</v>
      </c>
      <c r="D34" s="24" t="s">
        <v>45</v>
      </c>
      <c r="E34" s="24" t="s">
        <v>45</v>
      </c>
      <c r="F34" s="24" t="n">
        <v>70</v>
      </c>
      <c r="G34" s="24" t="s">
        <v>45</v>
      </c>
      <c r="H34" s="24" t="s">
        <v>46</v>
      </c>
      <c r="I34" s="24" t="s">
        <v>45</v>
      </c>
      <c r="J34" s="24" t="s">
        <v>46</v>
      </c>
      <c r="K34" s="24" t="s">
        <v>45</v>
      </c>
      <c r="L34" s="24" t="s">
        <v>60</v>
      </c>
      <c r="M34" s="24" t="s">
        <v>45</v>
      </c>
      <c r="N34" s="24" t="s">
        <v>66</v>
      </c>
      <c r="O34" s="25" t="n">
        <v>69.38</v>
      </c>
      <c r="P34" s="25" t="n">
        <v>4848.21</v>
      </c>
      <c r="Q34" s="24" t="s">
        <v>45</v>
      </c>
    </row>
    <row r="35" customFormat="false" ht="18" hidden="false" customHeight="true" outlineLevel="0" collapsed="false">
      <c r="A35" s="22" t="s">
        <v>81</v>
      </c>
      <c r="B35" s="22" t="s">
        <v>44</v>
      </c>
      <c r="C35" s="22" t="n">
        <v>1</v>
      </c>
      <c r="D35" s="22" t="s">
        <v>46</v>
      </c>
      <c r="E35" s="22" t="s">
        <v>46</v>
      </c>
      <c r="F35" s="22" t="n">
        <v>57</v>
      </c>
      <c r="G35" s="22" t="s">
        <v>45</v>
      </c>
      <c r="H35" s="22" t="s">
        <v>47</v>
      </c>
      <c r="I35" s="22" t="s">
        <v>45</v>
      </c>
      <c r="J35" s="22" t="s">
        <v>45</v>
      </c>
      <c r="K35" s="22" t="s">
        <v>46</v>
      </c>
      <c r="L35" s="22" t="s">
        <v>60</v>
      </c>
      <c r="M35" s="22" t="s">
        <v>46</v>
      </c>
      <c r="N35" s="22" t="s">
        <v>66</v>
      </c>
      <c r="O35" s="23" t="n">
        <v>111.61</v>
      </c>
      <c r="P35" s="23" t="n">
        <v>6355.4</v>
      </c>
      <c r="Q35" s="22" t="s">
        <v>46</v>
      </c>
    </row>
    <row r="36" customFormat="false" ht="18" hidden="false" customHeight="true" outlineLevel="0" collapsed="false">
      <c r="A36" s="20" t="s">
        <v>82</v>
      </c>
      <c r="B36" s="20" t="s">
        <v>44</v>
      </c>
      <c r="C36" s="20" t="n">
        <v>0</v>
      </c>
      <c r="D36" s="20" t="s">
        <v>46</v>
      </c>
      <c r="E36" s="20" t="s">
        <v>45</v>
      </c>
      <c r="F36" s="20" t="n">
        <v>52</v>
      </c>
      <c r="G36" s="20" t="s">
        <v>45</v>
      </c>
      <c r="H36" s="20" t="s">
        <v>46</v>
      </c>
      <c r="I36" s="20" t="s">
        <v>46</v>
      </c>
      <c r="J36" s="20" t="s">
        <v>46</v>
      </c>
      <c r="K36" s="20" t="s">
        <v>45</v>
      </c>
      <c r="L36" s="20" t="s">
        <v>52</v>
      </c>
      <c r="M36" s="20" t="s">
        <v>45</v>
      </c>
      <c r="N36" s="20" t="s">
        <v>56</v>
      </c>
      <c r="O36" s="21" t="n">
        <v>101.36</v>
      </c>
      <c r="P36" s="21" t="n">
        <v>5271.72</v>
      </c>
      <c r="Q36" s="20" t="s">
        <v>46</v>
      </c>
    </row>
    <row r="37" customFormat="false" ht="18" hidden="false" customHeight="true" outlineLevel="0" collapsed="false">
      <c r="A37" s="22" t="s">
        <v>83</v>
      </c>
      <c r="B37" s="22" t="s">
        <v>44</v>
      </c>
      <c r="C37" s="22" t="n">
        <v>1</v>
      </c>
      <c r="D37" s="22" t="s">
        <v>46</v>
      </c>
      <c r="E37" s="22" t="s">
        <v>45</v>
      </c>
      <c r="F37" s="22" t="n">
        <v>64</v>
      </c>
      <c r="G37" s="22" t="s">
        <v>45</v>
      </c>
      <c r="H37" s="22" t="s">
        <v>58</v>
      </c>
      <c r="I37" s="22" t="s">
        <v>45</v>
      </c>
      <c r="J37" s="22" t="s">
        <v>45</v>
      </c>
      <c r="K37" s="22" t="s">
        <v>46</v>
      </c>
      <c r="L37" s="22" t="s">
        <v>60</v>
      </c>
      <c r="M37" s="22" t="s">
        <v>45</v>
      </c>
      <c r="N37" s="22" t="s">
        <v>66</v>
      </c>
      <c r="O37" s="23" t="n">
        <v>82.54</v>
      </c>
      <c r="P37" s="23" t="n">
        <v>5287.76</v>
      </c>
      <c r="Q37" s="22" t="s">
        <v>46</v>
      </c>
    </row>
    <row r="38" customFormat="false" ht="18" hidden="false" customHeight="true" outlineLevel="0" collapsed="false">
      <c r="A38" s="24" t="s">
        <v>84</v>
      </c>
      <c r="B38" s="24" t="s">
        <v>44</v>
      </c>
      <c r="C38" s="24" t="n">
        <v>1</v>
      </c>
      <c r="D38" s="24" t="s">
        <v>46</v>
      </c>
      <c r="E38" s="24" t="s">
        <v>46</v>
      </c>
      <c r="F38" s="24" t="n">
        <v>8</v>
      </c>
      <c r="G38" s="24" t="s">
        <v>45</v>
      </c>
      <c r="H38" s="24" t="s">
        <v>47</v>
      </c>
      <c r="I38" s="24" t="s">
        <v>46</v>
      </c>
      <c r="J38" s="24" t="s">
        <v>45</v>
      </c>
      <c r="K38" s="24" t="s">
        <v>46</v>
      </c>
      <c r="L38" s="24" t="s">
        <v>48</v>
      </c>
      <c r="M38" s="24" t="s">
        <v>45</v>
      </c>
      <c r="N38" s="24" t="s">
        <v>66</v>
      </c>
      <c r="O38" s="25" t="n">
        <v>119.23</v>
      </c>
      <c r="P38" s="25" t="n">
        <v>962.1</v>
      </c>
      <c r="Q38" s="24" t="s">
        <v>45</v>
      </c>
    </row>
    <row r="39" customFormat="false" ht="18" hidden="false" customHeight="true" outlineLevel="0" collapsed="false">
      <c r="A39" s="22" t="s">
        <v>85</v>
      </c>
      <c r="B39" s="22" t="s">
        <v>44</v>
      </c>
      <c r="C39" s="22" t="n">
        <v>1</v>
      </c>
      <c r="D39" s="22" t="s">
        <v>45</v>
      </c>
      <c r="E39" s="22" t="s">
        <v>46</v>
      </c>
      <c r="F39" s="22" t="n">
        <v>20</v>
      </c>
      <c r="G39" s="22" t="s">
        <v>45</v>
      </c>
      <c r="H39" s="22" t="s">
        <v>46</v>
      </c>
      <c r="I39" s="22" t="s">
        <v>46</v>
      </c>
      <c r="J39" s="22" t="s">
        <v>46</v>
      </c>
      <c r="K39" s="22" t="s">
        <v>45</v>
      </c>
      <c r="L39" s="22" t="s">
        <v>48</v>
      </c>
      <c r="M39" s="22" t="s">
        <v>46</v>
      </c>
      <c r="N39" s="22" t="s">
        <v>66</v>
      </c>
      <c r="O39" s="23" t="n">
        <v>70.82</v>
      </c>
      <c r="P39" s="23" t="n">
        <v>1423.99</v>
      </c>
      <c r="Q39" s="22" t="s">
        <v>46</v>
      </c>
    </row>
    <row r="40" customFormat="false" ht="18" hidden="false" customHeight="true" outlineLevel="0" collapsed="false">
      <c r="A40" s="20" t="s">
        <v>86</v>
      </c>
      <c r="B40" s="20" t="s">
        <v>51</v>
      </c>
      <c r="C40" s="20" t="n">
        <v>1</v>
      </c>
      <c r="D40" s="20" t="s">
        <v>45</v>
      </c>
      <c r="E40" s="20" t="s">
        <v>46</v>
      </c>
      <c r="F40" s="20" t="n">
        <v>43</v>
      </c>
      <c r="G40" s="20" t="s">
        <v>45</v>
      </c>
      <c r="H40" s="20" t="s">
        <v>58</v>
      </c>
      <c r="I40" s="20" t="s">
        <v>46</v>
      </c>
      <c r="J40" s="20" t="s">
        <v>46</v>
      </c>
      <c r="K40" s="20" t="s">
        <v>46</v>
      </c>
      <c r="L40" s="20" t="s">
        <v>52</v>
      </c>
      <c r="M40" s="20" t="s">
        <v>46</v>
      </c>
      <c r="N40" s="20" t="s">
        <v>53</v>
      </c>
      <c r="O40" s="21" t="n">
        <v>75.19</v>
      </c>
      <c r="P40" s="21" t="n">
        <v>3234.04</v>
      </c>
      <c r="Q40" s="20" t="s">
        <v>46</v>
      </c>
    </row>
    <row r="41" customFormat="false" ht="18" hidden="false" customHeight="true" outlineLevel="0" collapsed="false">
      <c r="A41" s="22" t="s">
        <v>87</v>
      </c>
      <c r="B41" s="22" t="s">
        <v>51</v>
      </c>
      <c r="C41" s="22" t="n">
        <v>1</v>
      </c>
      <c r="D41" s="22" t="s">
        <v>45</v>
      </c>
      <c r="E41" s="22" t="s">
        <v>45</v>
      </c>
      <c r="F41" s="22" t="n">
        <v>5</v>
      </c>
      <c r="G41" s="22" t="s">
        <v>45</v>
      </c>
      <c r="H41" s="22" t="s">
        <v>47</v>
      </c>
      <c r="I41" s="22" t="s">
        <v>45</v>
      </c>
      <c r="J41" s="22" t="s">
        <v>45</v>
      </c>
      <c r="K41" s="22" t="s">
        <v>46</v>
      </c>
      <c r="L41" s="22" t="s">
        <v>52</v>
      </c>
      <c r="M41" s="22" t="s">
        <v>46</v>
      </c>
      <c r="N41" s="22" t="s">
        <v>56</v>
      </c>
      <c r="O41" s="23" t="n">
        <v>32.62</v>
      </c>
      <c r="P41" s="23" t="n">
        <v>172.41</v>
      </c>
      <c r="Q41" s="22" t="s">
        <v>46</v>
      </c>
    </row>
    <row r="42" customFormat="false" ht="18" hidden="false" customHeight="true" outlineLevel="0" collapsed="false">
      <c r="A42" s="20" t="s">
        <v>88</v>
      </c>
      <c r="B42" s="20" t="s">
        <v>44</v>
      </c>
      <c r="C42" s="20" t="n">
        <v>1</v>
      </c>
      <c r="D42" s="20" t="s">
        <v>45</v>
      </c>
      <c r="E42" s="20" t="s">
        <v>45</v>
      </c>
      <c r="F42" s="20" t="n">
        <v>51</v>
      </c>
      <c r="G42" s="20" t="s">
        <v>45</v>
      </c>
      <c r="H42" s="20" t="s">
        <v>58</v>
      </c>
      <c r="I42" s="20" t="s">
        <v>46</v>
      </c>
      <c r="J42" s="20" t="s">
        <v>45</v>
      </c>
      <c r="K42" s="20" t="s">
        <v>45</v>
      </c>
      <c r="L42" s="20" t="s">
        <v>60</v>
      </c>
      <c r="M42" s="20" t="s">
        <v>46</v>
      </c>
      <c r="N42" s="20" t="s">
        <v>49</v>
      </c>
      <c r="O42" s="21" t="n">
        <v>84.98</v>
      </c>
      <c r="P42" s="21" t="n">
        <v>4341.02</v>
      </c>
      <c r="Q42" s="20" t="s">
        <v>46</v>
      </c>
    </row>
    <row r="43" customFormat="false" ht="18" hidden="false" customHeight="true" outlineLevel="0" collapsed="false">
      <c r="A43" s="22" t="s">
        <v>89</v>
      </c>
      <c r="B43" s="22" t="s">
        <v>51</v>
      </c>
      <c r="C43" s="22" t="n">
        <v>1</v>
      </c>
      <c r="D43" s="22" t="s">
        <v>46</v>
      </c>
      <c r="E43" s="22" t="s">
        <v>46</v>
      </c>
      <c r="F43" s="22" t="n">
        <v>13</v>
      </c>
      <c r="G43" s="22" t="s">
        <v>45</v>
      </c>
      <c r="H43" s="22" t="s">
        <v>47</v>
      </c>
      <c r="I43" s="22" t="s">
        <v>45</v>
      </c>
      <c r="J43" s="22" t="s">
        <v>45</v>
      </c>
      <c r="K43" s="22" t="s">
        <v>46</v>
      </c>
      <c r="L43" s="22" t="s">
        <v>60</v>
      </c>
      <c r="M43" s="22" t="s">
        <v>45</v>
      </c>
      <c r="N43" s="22" t="s">
        <v>53</v>
      </c>
      <c r="O43" s="23" t="n">
        <v>64.37</v>
      </c>
      <c r="P43" s="23" t="n">
        <v>840.69</v>
      </c>
      <c r="Q43" s="22" t="s">
        <v>46</v>
      </c>
    </row>
    <row r="44" customFormat="false" ht="18" hidden="false" customHeight="true" outlineLevel="0" collapsed="false">
      <c r="A44" s="20" t="s">
        <v>90</v>
      </c>
      <c r="B44" s="20" t="s">
        <v>51</v>
      </c>
      <c r="C44" s="20" t="n">
        <v>1</v>
      </c>
      <c r="D44" s="20" t="s">
        <v>46</v>
      </c>
      <c r="E44" s="20" t="s">
        <v>46</v>
      </c>
      <c r="F44" s="20" t="n">
        <v>3</v>
      </c>
      <c r="G44" s="20" t="s">
        <v>45</v>
      </c>
      <c r="H44" s="20" t="s">
        <v>47</v>
      </c>
      <c r="I44" s="20" t="s">
        <v>45</v>
      </c>
      <c r="J44" s="20" t="s">
        <v>46</v>
      </c>
      <c r="K44" s="20" t="s">
        <v>46</v>
      </c>
      <c r="L44" s="20" t="s">
        <v>48</v>
      </c>
      <c r="M44" s="20" t="s">
        <v>45</v>
      </c>
      <c r="N44" s="20" t="s">
        <v>49</v>
      </c>
      <c r="O44" s="21" t="n">
        <v>80.95</v>
      </c>
      <c r="P44" s="21" t="n">
        <v>240.5</v>
      </c>
      <c r="Q44" s="20" t="s">
        <v>46</v>
      </c>
    </row>
    <row r="45" customFormat="false" ht="18" hidden="false" customHeight="true" outlineLevel="0" collapsed="false">
      <c r="A45" s="22" t="s">
        <v>91</v>
      </c>
      <c r="B45" s="22" t="s">
        <v>44</v>
      </c>
      <c r="C45" s="22" t="n">
        <v>0</v>
      </c>
      <c r="D45" s="22" t="s">
        <v>46</v>
      </c>
      <c r="E45" s="22" t="s">
        <v>46</v>
      </c>
      <c r="F45" s="22" t="n">
        <v>45</v>
      </c>
      <c r="G45" s="22" t="s">
        <v>45</v>
      </c>
      <c r="H45" s="22" t="s">
        <v>58</v>
      </c>
      <c r="I45" s="22" t="s">
        <v>45</v>
      </c>
      <c r="J45" s="22" t="s">
        <v>46</v>
      </c>
      <c r="K45" s="22" t="s">
        <v>46</v>
      </c>
      <c r="L45" s="22" t="s">
        <v>52</v>
      </c>
      <c r="M45" s="22" t="s">
        <v>46</v>
      </c>
      <c r="N45" s="22" t="s">
        <v>56</v>
      </c>
      <c r="O45" s="23" t="n">
        <v>118.77</v>
      </c>
      <c r="P45" s="23" t="n">
        <v>5340.63</v>
      </c>
      <c r="Q45" s="22" t="s">
        <v>46</v>
      </c>
    </row>
    <row r="46" customFormat="false" ht="18" hidden="false" customHeight="true" outlineLevel="0" collapsed="false">
      <c r="A46" s="20" t="s">
        <v>92</v>
      </c>
      <c r="B46" s="20" t="s">
        <v>44</v>
      </c>
      <c r="C46" s="20" t="n">
        <v>0</v>
      </c>
      <c r="D46" s="20" t="s">
        <v>46</v>
      </c>
      <c r="E46" s="20" t="s">
        <v>45</v>
      </c>
      <c r="F46" s="20" t="n">
        <v>22</v>
      </c>
      <c r="G46" s="20" t="s">
        <v>45</v>
      </c>
      <c r="H46" s="20" t="s">
        <v>46</v>
      </c>
      <c r="I46" s="20" t="s">
        <v>45</v>
      </c>
      <c r="J46" s="20" t="s">
        <v>46</v>
      </c>
      <c r="K46" s="20" t="s">
        <v>45</v>
      </c>
      <c r="L46" s="20" t="s">
        <v>48</v>
      </c>
      <c r="M46" s="20" t="s">
        <v>45</v>
      </c>
      <c r="N46" s="20" t="s">
        <v>49</v>
      </c>
      <c r="O46" s="21" t="n">
        <v>59.58</v>
      </c>
      <c r="P46" s="21" t="n">
        <v>1300.92</v>
      </c>
      <c r="Q46" s="20" t="s">
        <v>46</v>
      </c>
    </row>
    <row r="47" customFormat="false" ht="18" hidden="false" customHeight="true" outlineLevel="0" collapsed="false">
      <c r="A47" s="22" t="s">
        <v>93</v>
      </c>
      <c r="B47" s="22" t="s">
        <v>44</v>
      </c>
      <c r="C47" s="22" t="n">
        <v>0</v>
      </c>
      <c r="D47" s="22" t="s">
        <v>45</v>
      </c>
      <c r="E47" s="22" t="s">
        <v>45</v>
      </c>
      <c r="F47" s="22" t="n">
        <v>57</v>
      </c>
      <c r="G47" s="22" t="s">
        <v>45</v>
      </c>
      <c r="H47" s="22" t="s">
        <v>46</v>
      </c>
      <c r="I47" s="22" t="s">
        <v>46</v>
      </c>
      <c r="J47" s="22" t="s">
        <v>46</v>
      </c>
      <c r="K47" s="22" t="s">
        <v>45</v>
      </c>
      <c r="L47" s="22" t="s">
        <v>52</v>
      </c>
      <c r="M47" s="22" t="s">
        <v>46</v>
      </c>
      <c r="N47" s="22" t="s">
        <v>66</v>
      </c>
      <c r="O47" s="23" t="n">
        <v>23.34</v>
      </c>
      <c r="P47" s="23" t="n">
        <v>1327.68</v>
      </c>
      <c r="Q47" s="22" t="s">
        <v>46</v>
      </c>
    </row>
    <row r="48" customFormat="false" ht="18" hidden="false" customHeight="true" outlineLevel="0" collapsed="false">
      <c r="A48" s="24" t="s">
        <v>94</v>
      </c>
      <c r="B48" s="24" t="s">
        <v>44</v>
      </c>
      <c r="C48" s="24" t="n">
        <v>0</v>
      </c>
      <c r="D48" s="24" t="s">
        <v>46</v>
      </c>
      <c r="E48" s="24" t="s">
        <v>45</v>
      </c>
      <c r="F48" s="24" t="n">
        <v>44</v>
      </c>
      <c r="G48" s="24" t="s">
        <v>45</v>
      </c>
      <c r="H48" s="24" t="s">
        <v>47</v>
      </c>
      <c r="I48" s="24" t="s">
        <v>45</v>
      </c>
      <c r="J48" s="24" t="s">
        <v>46</v>
      </c>
      <c r="K48" s="24" t="s">
        <v>46</v>
      </c>
      <c r="L48" s="24" t="s">
        <v>52</v>
      </c>
      <c r="M48" s="24" t="s">
        <v>46</v>
      </c>
      <c r="N48" s="24" t="s">
        <v>66</v>
      </c>
      <c r="O48" s="25" t="n">
        <v>100.42</v>
      </c>
      <c r="P48" s="25" t="n">
        <v>4417.85</v>
      </c>
      <c r="Q48" s="24" t="s">
        <v>45</v>
      </c>
    </row>
    <row r="49" customFormat="false" ht="18" hidden="false" customHeight="true" outlineLevel="0" collapsed="false">
      <c r="A49" s="24" t="s">
        <v>95</v>
      </c>
      <c r="B49" s="24" t="s">
        <v>51</v>
      </c>
      <c r="C49" s="24" t="n">
        <v>1</v>
      </c>
      <c r="D49" s="24" t="s">
        <v>46</v>
      </c>
      <c r="E49" s="24" t="s">
        <v>46</v>
      </c>
      <c r="F49" s="24" t="n">
        <v>48</v>
      </c>
      <c r="G49" s="24" t="s">
        <v>45</v>
      </c>
      <c r="H49" s="24" t="s">
        <v>58</v>
      </c>
      <c r="I49" s="24" t="s">
        <v>45</v>
      </c>
      <c r="J49" s="24" t="s">
        <v>45</v>
      </c>
      <c r="K49" s="24" t="s">
        <v>45</v>
      </c>
      <c r="L49" s="24" t="s">
        <v>60</v>
      </c>
      <c r="M49" s="24" t="s">
        <v>46</v>
      </c>
      <c r="N49" s="24" t="s">
        <v>66</v>
      </c>
      <c r="O49" s="25" t="n">
        <v>30.83</v>
      </c>
      <c r="P49" s="25" t="n">
        <v>1474.52</v>
      </c>
      <c r="Q49" s="24" t="s">
        <v>45</v>
      </c>
    </row>
    <row r="50" customFormat="false" ht="18" hidden="false" customHeight="true" outlineLevel="0" collapsed="false">
      <c r="A50" s="24" t="s">
        <v>96</v>
      </c>
      <c r="B50" s="24" t="s">
        <v>51</v>
      </c>
      <c r="C50" s="24" t="n">
        <v>1</v>
      </c>
      <c r="D50" s="24" t="s">
        <v>45</v>
      </c>
      <c r="E50" s="24" t="s">
        <v>46</v>
      </c>
      <c r="F50" s="24" t="n">
        <v>4</v>
      </c>
      <c r="G50" s="24" t="s">
        <v>45</v>
      </c>
      <c r="H50" s="24" t="s">
        <v>46</v>
      </c>
      <c r="I50" s="24" t="s">
        <v>46</v>
      </c>
      <c r="J50" s="24" t="s">
        <v>46</v>
      </c>
      <c r="K50" s="24" t="s">
        <v>45</v>
      </c>
      <c r="L50" s="24" t="s">
        <v>48</v>
      </c>
      <c r="M50" s="24" t="s">
        <v>46</v>
      </c>
      <c r="N50" s="24" t="s">
        <v>53</v>
      </c>
      <c r="O50" s="25" t="n">
        <v>43.48</v>
      </c>
      <c r="P50" s="25" t="n">
        <v>174.67</v>
      </c>
      <c r="Q50" s="24" t="s">
        <v>45</v>
      </c>
    </row>
    <row r="51" customFormat="false" ht="18" hidden="false" customHeight="true" outlineLevel="0" collapsed="false">
      <c r="A51" s="24" t="s">
        <v>97</v>
      </c>
      <c r="B51" s="24" t="s">
        <v>51</v>
      </c>
      <c r="C51" s="24" t="n">
        <v>1</v>
      </c>
      <c r="D51" s="24" t="s">
        <v>46</v>
      </c>
      <c r="E51" s="24" t="s">
        <v>45</v>
      </c>
      <c r="F51" s="24" t="n">
        <v>57</v>
      </c>
      <c r="G51" s="24" t="s">
        <v>45</v>
      </c>
      <c r="H51" s="24" t="s">
        <v>58</v>
      </c>
      <c r="I51" s="24" t="s">
        <v>46</v>
      </c>
      <c r="J51" s="24" t="s">
        <v>45</v>
      </c>
      <c r="K51" s="24" t="s">
        <v>45</v>
      </c>
      <c r="L51" s="24" t="s">
        <v>52</v>
      </c>
      <c r="M51" s="24" t="s">
        <v>45</v>
      </c>
      <c r="N51" s="24" t="s">
        <v>49</v>
      </c>
      <c r="O51" s="25" t="n">
        <v>115.06</v>
      </c>
      <c r="P51" s="25" t="n">
        <v>6565.53</v>
      </c>
      <c r="Q51" s="24" t="s">
        <v>45</v>
      </c>
    </row>
    <row r="52" customFormat="false" ht="18" hidden="false" customHeight="true" outlineLevel="0" collapsed="false">
      <c r="A52" s="20" t="s">
        <v>98</v>
      </c>
      <c r="B52" s="20" t="s">
        <v>51</v>
      </c>
      <c r="C52" s="20" t="n">
        <v>1</v>
      </c>
      <c r="D52" s="20" t="s">
        <v>45</v>
      </c>
      <c r="E52" s="20" t="s">
        <v>45</v>
      </c>
      <c r="F52" s="20" t="n">
        <v>32</v>
      </c>
      <c r="G52" s="20" t="s">
        <v>45</v>
      </c>
      <c r="H52" s="20" t="s">
        <v>47</v>
      </c>
      <c r="I52" s="20" t="s">
        <v>45</v>
      </c>
      <c r="J52" s="20" t="s">
        <v>45</v>
      </c>
      <c r="K52" s="20" t="s">
        <v>46</v>
      </c>
      <c r="L52" s="20" t="s">
        <v>52</v>
      </c>
      <c r="M52" s="20" t="s">
        <v>45</v>
      </c>
      <c r="N52" s="20" t="s">
        <v>49</v>
      </c>
      <c r="O52" s="21" t="n">
        <v>118.88</v>
      </c>
      <c r="P52" s="21" t="n">
        <v>3809.9</v>
      </c>
      <c r="Q52" s="20" t="s">
        <v>46</v>
      </c>
    </row>
    <row r="53" customFormat="false" ht="18" hidden="false" customHeight="true" outlineLevel="0" collapsed="false">
      <c r="A53" s="22" t="s">
        <v>99</v>
      </c>
      <c r="B53" s="22" t="s">
        <v>51</v>
      </c>
      <c r="C53" s="22" t="n">
        <v>1</v>
      </c>
      <c r="D53" s="22" t="s">
        <v>45</v>
      </c>
      <c r="E53" s="22" t="s">
        <v>45</v>
      </c>
      <c r="F53" s="22" t="n">
        <v>4</v>
      </c>
      <c r="G53" s="22" t="s">
        <v>45</v>
      </c>
      <c r="H53" s="22" t="s">
        <v>46</v>
      </c>
      <c r="I53" s="22" t="s">
        <v>46</v>
      </c>
      <c r="J53" s="22" t="s">
        <v>45</v>
      </c>
      <c r="K53" s="22" t="s">
        <v>45</v>
      </c>
      <c r="L53" s="22" t="s">
        <v>60</v>
      </c>
      <c r="M53" s="22" t="s">
        <v>46</v>
      </c>
      <c r="N53" s="22" t="s">
        <v>66</v>
      </c>
      <c r="O53" s="23" t="n">
        <v>33.18</v>
      </c>
      <c r="P53" s="23" t="n">
        <v>129.88</v>
      </c>
      <c r="Q53" s="22" t="s">
        <v>46</v>
      </c>
    </row>
    <row r="54" customFormat="false" ht="18" hidden="false" customHeight="true" outlineLevel="0" collapsed="false">
      <c r="A54" s="20" t="s">
        <v>100</v>
      </c>
      <c r="B54" s="20" t="s">
        <v>44</v>
      </c>
      <c r="C54" s="20" t="n">
        <v>0</v>
      </c>
      <c r="D54" s="20" t="s">
        <v>45</v>
      </c>
      <c r="E54" s="20" t="s">
        <v>46</v>
      </c>
      <c r="F54" s="20" t="n">
        <v>66</v>
      </c>
      <c r="G54" s="20" t="s">
        <v>45</v>
      </c>
      <c r="H54" s="20" t="s">
        <v>47</v>
      </c>
      <c r="I54" s="20" t="s">
        <v>46</v>
      </c>
      <c r="J54" s="20" t="s">
        <v>45</v>
      </c>
      <c r="K54" s="20" t="s">
        <v>46</v>
      </c>
      <c r="L54" s="20" t="s">
        <v>52</v>
      </c>
      <c r="M54" s="20" t="s">
        <v>46</v>
      </c>
      <c r="N54" s="20" t="s">
        <v>49</v>
      </c>
      <c r="O54" s="21" t="n">
        <v>79.37</v>
      </c>
      <c r="P54" s="21" t="n">
        <v>5237.46</v>
      </c>
      <c r="Q54" s="20" t="s">
        <v>46</v>
      </c>
    </row>
    <row r="55" customFormat="false" ht="18" hidden="false" customHeight="true" outlineLevel="0" collapsed="false">
      <c r="A55" s="24" t="s">
        <v>101</v>
      </c>
      <c r="B55" s="24" t="s">
        <v>44</v>
      </c>
      <c r="C55" s="24" t="n">
        <v>1</v>
      </c>
      <c r="D55" s="24" t="s">
        <v>46</v>
      </c>
      <c r="E55" s="24" t="s">
        <v>46</v>
      </c>
      <c r="F55" s="24" t="n">
        <v>11</v>
      </c>
      <c r="G55" s="24" t="s">
        <v>45</v>
      </c>
      <c r="H55" s="24" t="s">
        <v>58</v>
      </c>
      <c r="I55" s="24" t="s">
        <v>45</v>
      </c>
      <c r="J55" s="24" t="s">
        <v>45</v>
      </c>
      <c r="K55" s="24" t="s">
        <v>46</v>
      </c>
      <c r="L55" s="24" t="s">
        <v>48</v>
      </c>
      <c r="M55" s="24" t="s">
        <v>46</v>
      </c>
      <c r="N55" s="24" t="s">
        <v>53</v>
      </c>
      <c r="O55" s="25" t="n">
        <v>80.83</v>
      </c>
      <c r="P55" s="25" t="n">
        <v>880.44</v>
      </c>
      <c r="Q55" s="24" t="s">
        <v>45</v>
      </c>
    </row>
    <row r="56" customFormat="false" ht="18" hidden="false" customHeight="true" outlineLevel="0" collapsed="false">
      <c r="A56" s="20" t="s">
        <v>102</v>
      </c>
      <c r="B56" s="20" t="s">
        <v>44</v>
      </c>
      <c r="C56" s="20" t="n">
        <v>1</v>
      </c>
      <c r="D56" s="20" t="s">
        <v>46</v>
      </c>
      <c r="E56" s="20" t="s">
        <v>45</v>
      </c>
      <c r="F56" s="20" t="n">
        <v>44</v>
      </c>
      <c r="G56" s="20" t="s">
        <v>45</v>
      </c>
      <c r="H56" s="20" t="s">
        <v>46</v>
      </c>
      <c r="I56" s="20" t="s">
        <v>46</v>
      </c>
      <c r="J56" s="20" t="s">
        <v>45</v>
      </c>
      <c r="K56" s="20" t="s">
        <v>45</v>
      </c>
      <c r="L56" s="20" t="s">
        <v>52</v>
      </c>
      <c r="M56" s="20" t="s">
        <v>45</v>
      </c>
      <c r="N56" s="20" t="s">
        <v>49</v>
      </c>
      <c r="O56" s="21" t="n">
        <v>102.74</v>
      </c>
      <c r="P56" s="21" t="n">
        <v>4518.53</v>
      </c>
      <c r="Q56" s="20" t="s">
        <v>46</v>
      </c>
    </row>
    <row r="57" customFormat="false" ht="18" hidden="false" customHeight="true" outlineLevel="0" collapsed="false">
      <c r="A57" s="24" t="s">
        <v>103</v>
      </c>
      <c r="B57" s="24" t="s">
        <v>51</v>
      </c>
      <c r="C57" s="24" t="n">
        <v>1</v>
      </c>
      <c r="D57" s="24" t="s">
        <v>46</v>
      </c>
      <c r="E57" s="24" t="s">
        <v>46</v>
      </c>
      <c r="F57" s="24" t="n">
        <v>13</v>
      </c>
      <c r="G57" s="24" t="s">
        <v>45</v>
      </c>
      <c r="H57" s="24" t="s">
        <v>46</v>
      </c>
      <c r="I57" s="24" t="s">
        <v>45</v>
      </c>
      <c r="J57" s="24" t="s">
        <v>46</v>
      </c>
      <c r="K57" s="24" t="s">
        <v>46</v>
      </c>
      <c r="L57" s="24" t="s">
        <v>52</v>
      </c>
      <c r="M57" s="24" t="s">
        <v>46</v>
      </c>
      <c r="N57" s="24" t="s">
        <v>49</v>
      </c>
      <c r="O57" s="25" t="n">
        <v>94.46</v>
      </c>
      <c r="P57" s="25" t="n">
        <v>1225.43</v>
      </c>
      <c r="Q57" s="24" t="s">
        <v>45</v>
      </c>
    </row>
    <row r="58" customFormat="false" ht="18" hidden="false" customHeight="true" outlineLevel="0" collapsed="false">
      <c r="A58" s="20" t="s">
        <v>104</v>
      </c>
      <c r="B58" s="20" t="s">
        <v>44</v>
      </c>
      <c r="C58" s="20" t="n">
        <v>0</v>
      </c>
      <c r="D58" s="20" t="s">
        <v>46</v>
      </c>
      <c r="E58" s="20" t="s">
        <v>45</v>
      </c>
      <c r="F58" s="20" t="n">
        <v>65</v>
      </c>
      <c r="G58" s="20" t="s">
        <v>45</v>
      </c>
      <c r="H58" s="20" t="s">
        <v>47</v>
      </c>
      <c r="I58" s="20" t="s">
        <v>45</v>
      </c>
      <c r="J58" s="20" t="s">
        <v>46</v>
      </c>
      <c r="K58" s="20" t="s">
        <v>45</v>
      </c>
      <c r="L58" s="20" t="s">
        <v>60</v>
      </c>
      <c r="M58" s="20" t="s">
        <v>45</v>
      </c>
      <c r="N58" s="20" t="s">
        <v>56</v>
      </c>
      <c r="O58" s="21" t="n">
        <v>41.27</v>
      </c>
      <c r="P58" s="21" t="n">
        <v>2685.68</v>
      </c>
      <c r="Q58" s="20" t="s">
        <v>46</v>
      </c>
    </row>
    <row r="59" customFormat="false" ht="18" hidden="false" customHeight="true" outlineLevel="0" collapsed="false">
      <c r="A59" s="24" t="s">
        <v>105</v>
      </c>
      <c r="B59" s="24" t="s">
        <v>51</v>
      </c>
      <c r="C59" s="24" t="n">
        <v>0</v>
      </c>
      <c r="D59" s="24" t="s">
        <v>45</v>
      </c>
      <c r="E59" s="24" t="s">
        <v>45</v>
      </c>
      <c r="F59" s="24" t="n">
        <v>40</v>
      </c>
      <c r="G59" s="24" t="s">
        <v>45</v>
      </c>
      <c r="H59" s="24" t="s">
        <v>46</v>
      </c>
      <c r="I59" s="24" t="s">
        <v>45</v>
      </c>
      <c r="J59" s="24" t="s">
        <v>46</v>
      </c>
      <c r="K59" s="24" t="s">
        <v>46</v>
      </c>
      <c r="L59" s="24" t="s">
        <v>60</v>
      </c>
      <c r="M59" s="24" t="s">
        <v>46</v>
      </c>
      <c r="N59" s="24" t="s">
        <v>56</v>
      </c>
      <c r="O59" s="25" t="n">
        <v>112.15</v>
      </c>
      <c r="P59" s="25" t="n">
        <v>4483.02</v>
      </c>
      <c r="Q59" s="24" t="s">
        <v>45</v>
      </c>
    </row>
    <row r="60" customFormat="false" ht="18" hidden="false" customHeight="true" outlineLevel="0" collapsed="false">
      <c r="A60" s="20" t="s">
        <v>106</v>
      </c>
      <c r="B60" s="20" t="s">
        <v>51</v>
      </c>
      <c r="C60" s="20" t="n">
        <v>0</v>
      </c>
      <c r="D60" s="20" t="s">
        <v>45</v>
      </c>
      <c r="E60" s="20" t="s">
        <v>45</v>
      </c>
      <c r="F60" s="20" t="n">
        <v>12</v>
      </c>
      <c r="G60" s="20" t="s">
        <v>45</v>
      </c>
      <c r="H60" s="20" t="s">
        <v>47</v>
      </c>
      <c r="I60" s="20" t="s">
        <v>46</v>
      </c>
      <c r="J60" s="20" t="s">
        <v>46</v>
      </c>
      <c r="K60" s="20" t="s">
        <v>46</v>
      </c>
      <c r="L60" s="20" t="s">
        <v>48</v>
      </c>
      <c r="M60" s="20" t="s">
        <v>46</v>
      </c>
      <c r="N60" s="20" t="s">
        <v>66</v>
      </c>
      <c r="O60" s="21" t="n">
        <v>51.16</v>
      </c>
      <c r="P60" s="21" t="n">
        <v>610.41</v>
      </c>
      <c r="Q60" s="20" t="s">
        <v>46</v>
      </c>
    </row>
    <row r="61" customFormat="false" ht="18" hidden="false" customHeight="true" outlineLevel="0" collapsed="false">
      <c r="A61" s="22" t="s">
        <v>107</v>
      </c>
      <c r="B61" s="22" t="s">
        <v>44</v>
      </c>
      <c r="C61" s="22" t="n">
        <v>0</v>
      </c>
      <c r="D61" s="22" t="s">
        <v>45</v>
      </c>
      <c r="E61" s="22" t="s">
        <v>46</v>
      </c>
      <c r="F61" s="22" t="n">
        <v>28</v>
      </c>
      <c r="G61" s="22" t="s">
        <v>45</v>
      </c>
      <c r="H61" s="22" t="s">
        <v>46</v>
      </c>
      <c r="I61" s="22" t="s">
        <v>45</v>
      </c>
      <c r="J61" s="22" t="s">
        <v>45</v>
      </c>
      <c r="K61" s="22" t="s">
        <v>45</v>
      </c>
      <c r="L61" s="22" t="s">
        <v>52</v>
      </c>
      <c r="M61" s="22" t="s">
        <v>46</v>
      </c>
      <c r="N61" s="22" t="s">
        <v>53</v>
      </c>
      <c r="O61" s="23" t="n">
        <v>95.49</v>
      </c>
      <c r="P61" s="23" t="n">
        <v>2666</v>
      </c>
      <c r="Q61" s="22" t="s">
        <v>46</v>
      </c>
    </row>
    <row r="62" customFormat="false" ht="18" hidden="false" customHeight="true" outlineLevel="0" collapsed="false">
      <c r="A62" s="20" t="s">
        <v>108</v>
      </c>
      <c r="B62" s="20" t="s">
        <v>51</v>
      </c>
      <c r="C62" s="20" t="n">
        <v>1</v>
      </c>
      <c r="D62" s="20" t="s">
        <v>45</v>
      </c>
      <c r="E62" s="20" t="s">
        <v>46</v>
      </c>
      <c r="F62" s="20" t="n">
        <v>9</v>
      </c>
      <c r="G62" s="20" t="s">
        <v>45</v>
      </c>
      <c r="H62" s="20" t="s">
        <v>58</v>
      </c>
      <c r="I62" s="20" t="s">
        <v>46</v>
      </c>
      <c r="J62" s="20" t="s">
        <v>45</v>
      </c>
      <c r="K62" s="20" t="s">
        <v>46</v>
      </c>
      <c r="L62" s="20" t="s">
        <v>48</v>
      </c>
      <c r="M62" s="20" t="s">
        <v>45</v>
      </c>
      <c r="N62" s="20" t="s">
        <v>66</v>
      </c>
      <c r="O62" s="21" t="n">
        <v>48.94</v>
      </c>
      <c r="P62" s="21" t="n">
        <v>432.86</v>
      </c>
      <c r="Q62" s="20" t="s">
        <v>46</v>
      </c>
    </row>
    <row r="63" customFormat="false" ht="18" hidden="false" customHeight="true" outlineLevel="0" collapsed="false">
      <c r="A63" s="22" t="s">
        <v>109</v>
      </c>
      <c r="B63" s="22" t="s">
        <v>51</v>
      </c>
      <c r="C63" s="22" t="n">
        <v>1</v>
      </c>
      <c r="D63" s="22" t="s">
        <v>45</v>
      </c>
      <c r="E63" s="22" t="s">
        <v>46</v>
      </c>
      <c r="F63" s="22" t="n">
        <v>11</v>
      </c>
      <c r="G63" s="22" t="s">
        <v>45</v>
      </c>
      <c r="H63" s="22" t="s">
        <v>58</v>
      </c>
      <c r="I63" s="22" t="s">
        <v>46</v>
      </c>
      <c r="J63" s="22" t="s">
        <v>46</v>
      </c>
      <c r="K63" s="22" t="s">
        <v>45</v>
      </c>
      <c r="L63" s="22" t="s">
        <v>48</v>
      </c>
      <c r="M63" s="22" t="s">
        <v>46</v>
      </c>
      <c r="N63" s="22" t="s">
        <v>49</v>
      </c>
      <c r="O63" s="23" t="n">
        <v>77.58</v>
      </c>
      <c r="P63" s="23" t="n">
        <v>854.85</v>
      </c>
      <c r="Q63" s="22" t="s">
        <v>46</v>
      </c>
    </row>
    <row r="64" customFormat="false" ht="18" hidden="false" customHeight="true" outlineLevel="0" collapsed="false">
      <c r="A64" s="24" t="s">
        <v>110</v>
      </c>
      <c r="B64" s="24" t="s">
        <v>51</v>
      </c>
      <c r="C64" s="24" t="n">
        <v>1</v>
      </c>
      <c r="D64" s="24" t="s">
        <v>45</v>
      </c>
      <c r="E64" s="24" t="s">
        <v>45</v>
      </c>
      <c r="F64" s="24" t="n">
        <v>14</v>
      </c>
      <c r="G64" s="24" t="s">
        <v>45</v>
      </c>
      <c r="H64" s="24" t="s">
        <v>46</v>
      </c>
      <c r="I64" s="24" t="s">
        <v>45</v>
      </c>
      <c r="J64" s="24" t="s">
        <v>45</v>
      </c>
      <c r="K64" s="24" t="s">
        <v>46</v>
      </c>
      <c r="L64" s="24" t="s">
        <v>48</v>
      </c>
      <c r="M64" s="24" t="s">
        <v>46</v>
      </c>
      <c r="N64" s="24" t="s">
        <v>53</v>
      </c>
      <c r="O64" s="25" t="n">
        <v>78.89</v>
      </c>
      <c r="P64" s="25" t="n">
        <v>1104.94</v>
      </c>
      <c r="Q64" s="24" t="s">
        <v>45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31.5" hidden="false" customHeight="true" outlineLevel="0" collapsed="false">
      <c r="A1" s="6" t="s">
        <v>111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112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113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21.75" hidden="false" customHeight="true" outlineLevel="0" collapsed="false">
      <c r="A5" s="26" t="s">
        <v>114</v>
      </c>
      <c r="B5" s="26" t="s">
        <v>115</v>
      </c>
      <c r="C5" s="26" t="s">
        <v>116</v>
      </c>
      <c r="D5" s="26" t="s">
        <v>117</v>
      </c>
      <c r="E5" s="26" t="s">
        <v>118</v>
      </c>
      <c r="F5" s="26" t="s">
        <v>119</v>
      </c>
      <c r="G5" s="26" t="s">
        <v>120</v>
      </c>
      <c r="H5" s="26" t="s">
        <v>121</v>
      </c>
    </row>
    <row r="6" customFormat="false" ht="21.75" hidden="false" customHeight="true" outlineLevel="0" collapsed="false">
      <c r="A6" s="27" t="s">
        <v>48</v>
      </c>
      <c r="B6" s="27" t="s">
        <v>122</v>
      </c>
      <c r="C6" s="27" t="n">
        <v>1820</v>
      </c>
      <c r="D6" s="27" t="n">
        <v>780</v>
      </c>
      <c r="E6" s="28" t="n">
        <v>0.429</v>
      </c>
      <c r="F6" s="29" t="n">
        <v>72.4</v>
      </c>
      <c r="G6" s="30" t="n">
        <v>677664</v>
      </c>
      <c r="H6" s="31" t="s">
        <v>123</v>
      </c>
    </row>
    <row r="7" customFormat="false" ht="21.75" hidden="false" customHeight="true" outlineLevel="0" collapsed="false">
      <c r="A7" s="32" t="s">
        <v>48</v>
      </c>
      <c r="B7" s="32" t="s">
        <v>124</v>
      </c>
      <c r="C7" s="32" t="n">
        <v>890</v>
      </c>
      <c r="D7" s="32" t="n">
        <v>267</v>
      </c>
      <c r="E7" s="33" t="n">
        <v>0.3</v>
      </c>
      <c r="F7" s="34" t="n">
        <v>68.2</v>
      </c>
      <c r="G7" s="35" t="n">
        <v>218513</v>
      </c>
      <c r="H7" s="31" t="s">
        <v>125</v>
      </c>
    </row>
    <row r="8" customFormat="false" ht="21.75" hidden="false" customHeight="true" outlineLevel="0" collapsed="false">
      <c r="A8" s="27" t="s">
        <v>48</v>
      </c>
      <c r="B8" s="27" t="s">
        <v>126</v>
      </c>
      <c r="C8" s="27" t="n">
        <v>420</v>
      </c>
      <c r="D8" s="27" t="n">
        <v>84</v>
      </c>
      <c r="E8" s="28" t="n">
        <v>0.2</v>
      </c>
      <c r="F8" s="29" t="n">
        <v>65.1</v>
      </c>
      <c r="G8" s="30" t="n">
        <v>65621</v>
      </c>
      <c r="H8" s="36" t="s">
        <v>127</v>
      </c>
    </row>
    <row r="9" customFormat="false" ht="21.75" hidden="false" customHeight="true" outlineLevel="0" collapsed="false">
      <c r="A9" s="32" t="s">
        <v>52</v>
      </c>
      <c r="B9" s="32" t="s">
        <v>122</v>
      </c>
      <c r="C9" s="32" t="n">
        <v>580</v>
      </c>
      <c r="D9" s="32" t="n">
        <v>64</v>
      </c>
      <c r="E9" s="33" t="n">
        <v>0.11</v>
      </c>
      <c r="F9" s="34" t="n">
        <v>58.3</v>
      </c>
      <c r="G9" s="35" t="n">
        <v>44774</v>
      </c>
      <c r="H9" s="37" t="s">
        <v>128</v>
      </c>
    </row>
    <row r="10" customFormat="false" ht="21.75" hidden="false" customHeight="true" outlineLevel="0" collapsed="false">
      <c r="A10" s="27" t="s">
        <v>52</v>
      </c>
      <c r="B10" s="27" t="s">
        <v>124</v>
      </c>
      <c r="C10" s="27" t="n">
        <v>720</v>
      </c>
      <c r="D10" s="27" t="n">
        <v>50</v>
      </c>
      <c r="E10" s="28" t="n">
        <v>0.069</v>
      </c>
      <c r="F10" s="29" t="n">
        <v>61.7</v>
      </c>
      <c r="G10" s="30" t="n">
        <v>37020</v>
      </c>
      <c r="H10" s="37" t="s">
        <v>128</v>
      </c>
    </row>
    <row r="11" customFormat="false" ht="21.75" hidden="false" customHeight="true" outlineLevel="0" collapsed="false">
      <c r="A11" s="32" t="s">
        <v>52</v>
      </c>
      <c r="B11" s="32" t="s">
        <v>126</v>
      </c>
      <c r="C11" s="32" t="n">
        <v>890</v>
      </c>
      <c r="D11" s="32" t="n">
        <v>40</v>
      </c>
      <c r="E11" s="33" t="n">
        <v>0.045</v>
      </c>
      <c r="F11" s="34" t="n">
        <v>59.2</v>
      </c>
      <c r="G11" s="35" t="n">
        <v>28416</v>
      </c>
      <c r="H11" s="37" t="s">
        <v>129</v>
      </c>
    </row>
    <row r="12" customFormat="false" ht="21.75" hidden="false" customHeight="true" outlineLevel="0" collapsed="false">
      <c r="A12" s="27" t="s">
        <v>60</v>
      </c>
      <c r="B12" s="27" t="s">
        <v>122</v>
      </c>
      <c r="C12" s="27" t="n">
        <v>310</v>
      </c>
      <c r="D12" s="27" t="n">
        <v>18</v>
      </c>
      <c r="E12" s="28" t="n">
        <v>0.058</v>
      </c>
      <c r="F12" s="29" t="n">
        <v>79.1</v>
      </c>
      <c r="G12" s="30" t="n">
        <v>17086</v>
      </c>
      <c r="H12" s="37" t="s">
        <v>128</v>
      </c>
    </row>
    <row r="13" customFormat="false" ht="21.75" hidden="false" customHeight="true" outlineLevel="0" collapsed="false">
      <c r="A13" s="32" t="s">
        <v>60</v>
      </c>
      <c r="B13" s="32" t="s">
        <v>124</v>
      </c>
      <c r="C13" s="32" t="n">
        <v>480</v>
      </c>
      <c r="D13" s="32" t="n">
        <v>12</v>
      </c>
      <c r="E13" s="33" t="n">
        <v>0.025</v>
      </c>
      <c r="F13" s="34" t="n">
        <v>82.4</v>
      </c>
      <c r="G13" s="35" t="n">
        <v>11866</v>
      </c>
      <c r="H13" s="37" t="s">
        <v>129</v>
      </c>
    </row>
    <row r="14" customFormat="false" ht="21.75" hidden="false" customHeight="true" outlineLevel="0" collapsed="false">
      <c r="A14" s="27" t="s">
        <v>60</v>
      </c>
      <c r="B14" s="27" t="s">
        <v>126</v>
      </c>
      <c r="C14" s="27" t="n">
        <v>933</v>
      </c>
      <c r="D14" s="27" t="n">
        <v>18</v>
      </c>
      <c r="E14" s="28" t="n">
        <v>0.019</v>
      </c>
      <c r="F14" s="29" t="n">
        <v>88.2</v>
      </c>
      <c r="G14" s="30" t="n">
        <v>19051</v>
      </c>
      <c r="H14" s="37" t="s">
        <v>129</v>
      </c>
    </row>
    <row r="15" customFormat="false" ht="15" hidden="false" customHeight="true" outlineLevel="0" collapsed="false">
      <c r="A15" s="38" t="s">
        <v>130</v>
      </c>
      <c r="B15" s="38"/>
      <c r="C15" s="39" t="n">
        <f aca="false">SUM(C6:C14)</f>
        <v>7043</v>
      </c>
      <c r="D15" s="39" t="n">
        <f aca="false">SUM(D6:D14)</f>
        <v>1333</v>
      </c>
      <c r="E15" s="40" t="n">
        <f aca="false">D15/C15</f>
        <v>0.189265937810592</v>
      </c>
      <c r="G15" s="41" t="n">
        <f aca="false">SUM(G6:G14)</f>
        <v>1120011</v>
      </c>
    </row>
  </sheetData>
  <mergeCells count="4">
    <mergeCell ref="A1:L1"/>
    <mergeCell ref="A2:L2"/>
    <mergeCell ref="A4:J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40"/>
    <col collapsed="false" customWidth="true" hidden="false" outlineLevel="0" max="6" min="6" style="1" width="32"/>
    <col collapsed="false" customWidth="true" hidden="false" outlineLevel="0" max="9" min="7" style="1" width="18"/>
  </cols>
  <sheetData>
    <row r="1" customFormat="false" ht="31.5" hidden="false" customHeight="true" outlineLevel="0" collapsed="false">
      <c r="A1" s="6" t="s">
        <v>131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132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133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21.75" hidden="false" customHeight="true" outlineLevel="0" collapsed="false">
      <c r="A5" s="26" t="s">
        <v>134</v>
      </c>
      <c r="B5" s="26" t="s">
        <v>135</v>
      </c>
      <c r="C5" s="26" t="s">
        <v>136</v>
      </c>
      <c r="D5" s="26" t="s">
        <v>137</v>
      </c>
      <c r="E5" s="26" t="s">
        <v>138</v>
      </c>
      <c r="F5" s="26" t="s">
        <v>139</v>
      </c>
      <c r="G5" s="26" t="s">
        <v>140</v>
      </c>
      <c r="H5" s="26" t="s">
        <v>141</v>
      </c>
      <c r="I5" s="26" t="s">
        <v>142</v>
      </c>
    </row>
    <row r="6" customFormat="false" ht="21.75" hidden="false" customHeight="true" outlineLevel="0" collapsed="false">
      <c r="A6" s="32" t="s">
        <v>143</v>
      </c>
      <c r="B6" s="33" t="n">
        <v>0.791</v>
      </c>
      <c r="C6" s="42" t="n">
        <v>0.612</v>
      </c>
      <c r="D6" s="42" t="n">
        <v>0.558</v>
      </c>
      <c r="E6" s="42" t="n">
        <v>0.584</v>
      </c>
      <c r="F6" s="42" t="n">
        <v>0.842</v>
      </c>
      <c r="G6" s="42" t="n">
        <v>0.454</v>
      </c>
      <c r="H6" s="32" t="s">
        <v>144</v>
      </c>
      <c r="I6" s="32" t="s">
        <v>46</v>
      </c>
    </row>
    <row r="7" customFormat="false" ht="21.75" hidden="false" customHeight="true" outlineLevel="0" collapsed="false">
      <c r="A7" s="43" t="s">
        <v>145</v>
      </c>
      <c r="B7" s="44" t="n">
        <v>0.872</v>
      </c>
      <c r="C7" s="45" t="n">
        <v>0.738</v>
      </c>
      <c r="D7" s="45" t="n">
        <v>0.674</v>
      </c>
      <c r="E7" s="45" t="n">
        <v>0.705</v>
      </c>
      <c r="F7" s="45" t="n">
        <v>0.912</v>
      </c>
      <c r="G7" s="45" t="n">
        <v>0.312</v>
      </c>
      <c r="H7" s="43" t="s">
        <v>146</v>
      </c>
      <c r="I7" s="37" t="s">
        <v>147</v>
      </c>
    </row>
    <row r="8" customFormat="false" ht="21.75" hidden="false" customHeight="true" outlineLevel="0" collapsed="false">
      <c r="A8" s="32" t="s">
        <v>148</v>
      </c>
      <c r="B8" s="33" t="n">
        <v>0.859</v>
      </c>
      <c r="C8" s="42" t="n">
        <v>0.718</v>
      </c>
      <c r="D8" s="42" t="n">
        <v>0.651</v>
      </c>
      <c r="E8" s="42" t="n">
        <v>0.683</v>
      </c>
      <c r="F8" s="42" t="n">
        <v>0.899</v>
      </c>
      <c r="G8" s="42" t="n">
        <v>0.328</v>
      </c>
      <c r="H8" s="32" t="s">
        <v>149</v>
      </c>
      <c r="I8" s="32" t="s">
        <v>46</v>
      </c>
    </row>
    <row r="10" customFormat="false" ht="19.5" hidden="false" customHeight="true" outlineLevel="0" collapsed="false">
      <c r="A10" s="8" t="s">
        <v>150</v>
      </c>
      <c r="B10" s="8"/>
      <c r="C10" s="8"/>
      <c r="D10" s="8"/>
      <c r="E10" s="8"/>
      <c r="F10" s="8"/>
      <c r="G10" s="8"/>
      <c r="H10" s="8"/>
      <c r="I10" s="8"/>
      <c r="J10" s="8"/>
    </row>
    <row r="11" customFormat="false" ht="21.75" hidden="false" customHeight="true" outlineLevel="0" collapsed="false">
      <c r="A11" s="26"/>
      <c r="B11" s="26" t="s">
        <v>151</v>
      </c>
      <c r="C11" s="26" t="s">
        <v>152</v>
      </c>
      <c r="D11" s="26" t="s">
        <v>153</v>
      </c>
      <c r="E11" s="26" t="s">
        <v>154</v>
      </c>
    </row>
    <row r="12" customFormat="false" ht="24" hidden="false" customHeight="true" outlineLevel="0" collapsed="false">
      <c r="A12" s="37" t="s">
        <v>155</v>
      </c>
      <c r="B12" s="43" t="n">
        <v>1028</v>
      </c>
      <c r="C12" s="43" t="n">
        <v>80</v>
      </c>
      <c r="D12" s="43" t="n">
        <v>1108</v>
      </c>
      <c r="E12" s="43" t="s">
        <v>156</v>
      </c>
    </row>
    <row r="13" customFormat="false" ht="24" hidden="false" customHeight="true" outlineLevel="0" collapsed="false">
      <c r="A13" s="36" t="s">
        <v>157</v>
      </c>
      <c r="B13" s="46" t="n">
        <v>116</v>
      </c>
      <c r="C13" s="46" t="n">
        <v>185</v>
      </c>
      <c r="D13" s="46" t="n">
        <v>301</v>
      </c>
      <c r="E13" s="46" t="s">
        <v>158</v>
      </c>
    </row>
    <row r="14" customFormat="false" ht="24" hidden="false" customHeight="true" outlineLevel="0" collapsed="false">
      <c r="A14" s="47" t="s">
        <v>153</v>
      </c>
      <c r="B14" s="47" t="n">
        <v>1144</v>
      </c>
      <c r="C14" s="47" t="n">
        <v>265</v>
      </c>
      <c r="D14" s="47" t="n">
        <v>1409</v>
      </c>
      <c r="E14" s="47" t="s">
        <v>159</v>
      </c>
    </row>
    <row r="16" customFormat="false" ht="19.5" hidden="false" customHeight="true" outlineLevel="0" collapsed="false">
      <c r="A16" s="8" t="s">
        <v>160</v>
      </c>
      <c r="B16" s="8"/>
      <c r="C16" s="8"/>
      <c r="D16" s="8"/>
      <c r="E16" s="8"/>
      <c r="F16" s="8"/>
      <c r="G16" s="8"/>
      <c r="H16" s="8"/>
      <c r="I16" s="8"/>
      <c r="J16" s="8"/>
    </row>
    <row r="17" customFormat="false" ht="21.75" hidden="false" customHeight="true" outlineLevel="0" collapsed="false">
      <c r="A17" s="26" t="s">
        <v>161</v>
      </c>
      <c r="B17" s="26" t="s">
        <v>162</v>
      </c>
      <c r="C17" s="26" t="s">
        <v>163</v>
      </c>
      <c r="D17" s="26" t="s">
        <v>164</v>
      </c>
      <c r="E17" s="26" t="s">
        <v>165</v>
      </c>
      <c r="F17" s="26" t="s">
        <v>166</v>
      </c>
    </row>
    <row r="18" customFormat="false" ht="36" hidden="false" customHeight="true" outlineLevel="0" collapsed="false">
      <c r="A18" s="31" t="n">
        <v>1</v>
      </c>
      <c r="B18" s="48" t="s">
        <v>167</v>
      </c>
      <c r="C18" s="49" t="n">
        <v>0.412</v>
      </c>
      <c r="D18" s="48" t="s">
        <v>168</v>
      </c>
      <c r="E18" s="50" t="s">
        <v>169</v>
      </c>
      <c r="F18" s="50" t="s">
        <v>170</v>
      </c>
    </row>
    <row r="19" customFormat="false" ht="36" hidden="false" customHeight="true" outlineLevel="0" collapsed="false">
      <c r="A19" s="36" t="n">
        <v>2</v>
      </c>
      <c r="B19" s="46" t="s">
        <v>171</v>
      </c>
      <c r="C19" s="51" t="n">
        <v>0.298</v>
      </c>
      <c r="D19" s="46" t="s">
        <v>168</v>
      </c>
      <c r="E19" s="52" t="s">
        <v>172</v>
      </c>
      <c r="F19" s="52" t="s">
        <v>173</v>
      </c>
    </row>
    <row r="20" customFormat="false" ht="36" hidden="false" customHeight="true" outlineLevel="0" collapsed="false">
      <c r="A20" s="37" t="n">
        <v>3</v>
      </c>
      <c r="B20" s="43" t="s">
        <v>174</v>
      </c>
      <c r="C20" s="53" t="n">
        <v>0.187</v>
      </c>
      <c r="D20" s="43" t="s">
        <v>168</v>
      </c>
      <c r="E20" s="54" t="s">
        <v>175</v>
      </c>
      <c r="F20" s="54" t="s">
        <v>176</v>
      </c>
    </row>
    <row r="21" customFormat="false" ht="36" hidden="false" customHeight="true" outlineLevel="0" collapsed="false">
      <c r="A21" s="55" t="n">
        <v>4</v>
      </c>
      <c r="B21" s="32" t="s">
        <v>177</v>
      </c>
      <c r="C21" s="56" t="n">
        <v>0.143</v>
      </c>
      <c r="D21" s="32" t="s">
        <v>168</v>
      </c>
      <c r="E21" s="57" t="s">
        <v>178</v>
      </c>
      <c r="F21" s="57" t="s">
        <v>179</v>
      </c>
    </row>
    <row r="22" customFormat="false" ht="36" hidden="false" customHeight="true" outlineLevel="0" collapsed="false">
      <c r="A22" s="58" t="n">
        <v>5</v>
      </c>
      <c r="B22" s="27" t="s">
        <v>180</v>
      </c>
      <c r="C22" s="59" t="n">
        <v>0.098</v>
      </c>
      <c r="D22" s="27" t="s">
        <v>168</v>
      </c>
      <c r="E22" s="60" t="s">
        <v>181</v>
      </c>
      <c r="F22" s="60" t="s">
        <v>182</v>
      </c>
    </row>
  </sheetData>
  <mergeCells count="5">
    <mergeCell ref="A1:L1"/>
    <mergeCell ref="A2:L2"/>
    <mergeCell ref="A4:J4"/>
    <mergeCell ref="A10:J10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6"/>
  </cols>
  <sheetData>
    <row r="1" customFormat="false" ht="31.5" hidden="false" customHeight="true" outlineLevel="0" collapsed="false">
      <c r="A1" s="6" t="s">
        <v>183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184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185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21.75" hidden="false" customHeight="true" outlineLevel="0" collapsed="false">
      <c r="A5" s="26" t="s">
        <v>186</v>
      </c>
      <c r="B5" s="26" t="s">
        <v>37</v>
      </c>
      <c r="C5" s="26" t="s">
        <v>187</v>
      </c>
      <c r="D5" s="26" t="s">
        <v>188</v>
      </c>
      <c r="E5" s="26" t="s">
        <v>189</v>
      </c>
      <c r="F5" s="26" t="s">
        <v>190</v>
      </c>
      <c r="G5" s="26" t="s">
        <v>191</v>
      </c>
      <c r="H5" s="26" t="s">
        <v>192</v>
      </c>
      <c r="I5" s="26" t="s">
        <v>193</v>
      </c>
    </row>
    <row r="6" customFormat="false" ht="18" hidden="false" customHeight="true" outlineLevel="0" collapsed="false">
      <c r="A6" s="61" t="s">
        <v>194</v>
      </c>
      <c r="B6" s="61" t="s">
        <v>48</v>
      </c>
      <c r="C6" s="61" t="n">
        <v>4</v>
      </c>
      <c r="D6" s="62" t="n">
        <v>55.25</v>
      </c>
      <c r="E6" s="63" t="n">
        <v>663</v>
      </c>
      <c r="F6" s="64" t="n">
        <v>0.623</v>
      </c>
      <c r="G6" s="63" t="n">
        <v>413</v>
      </c>
      <c r="H6" s="61" t="s">
        <v>195</v>
      </c>
      <c r="I6" s="65" t="s">
        <v>196</v>
      </c>
    </row>
    <row r="7" customFormat="false" ht="18" hidden="false" customHeight="true" outlineLevel="0" collapsed="false">
      <c r="A7" s="24" t="s">
        <v>197</v>
      </c>
      <c r="B7" s="24" t="s">
        <v>52</v>
      </c>
      <c r="C7" s="24" t="n">
        <v>3</v>
      </c>
      <c r="D7" s="25" t="n">
        <v>57.4</v>
      </c>
      <c r="E7" s="66" t="n">
        <v>689</v>
      </c>
      <c r="F7" s="67" t="n">
        <v>0.836</v>
      </c>
      <c r="G7" s="66" t="n">
        <v>576</v>
      </c>
      <c r="H7" s="24" t="s">
        <v>198</v>
      </c>
      <c r="I7" s="68" t="s">
        <v>199</v>
      </c>
    </row>
    <row r="8" customFormat="false" ht="18" hidden="false" customHeight="true" outlineLevel="0" collapsed="false">
      <c r="A8" s="24" t="s">
        <v>200</v>
      </c>
      <c r="B8" s="24" t="s">
        <v>52</v>
      </c>
      <c r="C8" s="24" t="n">
        <v>15</v>
      </c>
      <c r="D8" s="25" t="n">
        <v>92.68</v>
      </c>
      <c r="E8" s="66" t="n">
        <v>1112</v>
      </c>
      <c r="F8" s="67" t="n">
        <v>0.876</v>
      </c>
      <c r="G8" s="66" t="n">
        <v>974</v>
      </c>
      <c r="H8" s="24" t="s">
        <v>195</v>
      </c>
      <c r="I8" s="68" t="s">
        <v>196</v>
      </c>
    </row>
    <row r="9" customFormat="false" ht="18" hidden="false" customHeight="true" outlineLevel="0" collapsed="false">
      <c r="A9" s="61" t="s">
        <v>201</v>
      </c>
      <c r="B9" s="61" t="s">
        <v>52</v>
      </c>
      <c r="C9" s="61" t="n">
        <v>11</v>
      </c>
      <c r="D9" s="62" t="n">
        <v>55.57</v>
      </c>
      <c r="E9" s="63" t="n">
        <v>667</v>
      </c>
      <c r="F9" s="64" t="n">
        <v>0.575</v>
      </c>
      <c r="G9" s="63" t="n">
        <v>384</v>
      </c>
      <c r="H9" s="61" t="s">
        <v>198</v>
      </c>
      <c r="I9" s="65" t="s">
        <v>199</v>
      </c>
    </row>
    <row r="10" customFormat="false" ht="18" hidden="false" customHeight="true" outlineLevel="0" collapsed="false">
      <c r="A10" s="61" t="s">
        <v>202</v>
      </c>
      <c r="B10" s="61" t="s">
        <v>48</v>
      </c>
      <c r="C10" s="61" t="n">
        <v>2</v>
      </c>
      <c r="D10" s="62" t="n">
        <v>69.64</v>
      </c>
      <c r="E10" s="63" t="n">
        <v>836</v>
      </c>
      <c r="F10" s="64" t="n">
        <v>0.577</v>
      </c>
      <c r="G10" s="63" t="n">
        <v>482</v>
      </c>
      <c r="H10" s="61" t="s">
        <v>198</v>
      </c>
      <c r="I10" s="65" t="s">
        <v>199</v>
      </c>
    </row>
    <row r="11" customFormat="false" ht="18" hidden="false" customHeight="true" outlineLevel="0" collapsed="false">
      <c r="A11" s="69" t="s">
        <v>203</v>
      </c>
      <c r="B11" s="69" t="s">
        <v>48</v>
      </c>
      <c r="C11" s="69" t="n">
        <v>2</v>
      </c>
      <c r="D11" s="70" t="n">
        <v>70.81</v>
      </c>
      <c r="E11" s="71" t="n">
        <v>850</v>
      </c>
      <c r="F11" s="72" t="n">
        <v>0.656</v>
      </c>
      <c r="G11" s="71" t="n">
        <v>558</v>
      </c>
      <c r="H11" s="69" t="s">
        <v>204</v>
      </c>
      <c r="I11" s="73" t="s">
        <v>205</v>
      </c>
    </row>
    <row r="12" customFormat="false" ht="18" hidden="false" customHeight="true" outlineLevel="0" collapsed="false">
      <c r="A12" s="24" t="s">
        <v>206</v>
      </c>
      <c r="B12" s="24" t="s">
        <v>48</v>
      </c>
      <c r="C12" s="24" t="n">
        <v>15</v>
      </c>
      <c r="D12" s="25" t="n">
        <v>85.62</v>
      </c>
      <c r="E12" s="66" t="n">
        <v>1027</v>
      </c>
      <c r="F12" s="67" t="n">
        <v>0.903</v>
      </c>
      <c r="G12" s="66" t="n">
        <v>927</v>
      </c>
      <c r="H12" s="24" t="s">
        <v>204</v>
      </c>
      <c r="I12" s="68" t="s">
        <v>205</v>
      </c>
    </row>
    <row r="13" customFormat="false" ht="18" hidden="false" customHeight="true" outlineLevel="0" collapsed="false">
      <c r="A13" s="69" t="s">
        <v>207</v>
      </c>
      <c r="B13" s="69" t="s">
        <v>52</v>
      </c>
      <c r="C13" s="69" t="n">
        <v>7</v>
      </c>
      <c r="D13" s="70" t="n">
        <v>67.51</v>
      </c>
      <c r="E13" s="71" t="n">
        <v>810</v>
      </c>
      <c r="F13" s="72" t="n">
        <v>0.726</v>
      </c>
      <c r="G13" s="71" t="n">
        <v>588</v>
      </c>
      <c r="H13" s="69" t="s">
        <v>208</v>
      </c>
      <c r="I13" s="73" t="s">
        <v>209</v>
      </c>
    </row>
    <row r="14" customFormat="false" ht="18" hidden="false" customHeight="true" outlineLevel="0" collapsed="false">
      <c r="A14" s="24" t="s">
        <v>210</v>
      </c>
      <c r="B14" s="24" t="s">
        <v>48</v>
      </c>
      <c r="C14" s="24" t="n">
        <v>4</v>
      </c>
      <c r="D14" s="25" t="n">
        <v>101.77</v>
      </c>
      <c r="E14" s="66" t="n">
        <v>1221</v>
      </c>
      <c r="F14" s="67" t="n">
        <v>0.86</v>
      </c>
      <c r="G14" s="66" t="n">
        <v>1050</v>
      </c>
      <c r="H14" s="24" t="s">
        <v>204</v>
      </c>
      <c r="I14" s="68" t="s">
        <v>205</v>
      </c>
    </row>
    <row r="15" customFormat="false" ht="18" hidden="false" customHeight="true" outlineLevel="0" collapsed="false">
      <c r="A15" s="24" t="s">
        <v>211</v>
      </c>
      <c r="B15" s="24" t="s">
        <v>52</v>
      </c>
      <c r="C15" s="24" t="n">
        <v>6</v>
      </c>
      <c r="D15" s="25" t="n">
        <v>47.74</v>
      </c>
      <c r="E15" s="66" t="n">
        <v>573</v>
      </c>
      <c r="F15" s="67" t="n">
        <v>0.812</v>
      </c>
      <c r="G15" s="66" t="n">
        <v>465</v>
      </c>
      <c r="H15" s="24" t="s">
        <v>198</v>
      </c>
      <c r="I15" s="68" t="s">
        <v>199</v>
      </c>
    </row>
    <row r="16" customFormat="false" ht="18" hidden="false" customHeight="true" outlineLevel="0" collapsed="false">
      <c r="A16" s="24" t="s">
        <v>212</v>
      </c>
      <c r="B16" s="24" t="s">
        <v>52</v>
      </c>
      <c r="C16" s="24" t="n">
        <v>6</v>
      </c>
      <c r="D16" s="25" t="n">
        <v>70.47</v>
      </c>
      <c r="E16" s="66" t="n">
        <v>846</v>
      </c>
      <c r="F16" s="67" t="n">
        <v>0.89</v>
      </c>
      <c r="G16" s="66" t="n">
        <v>753</v>
      </c>
      <c r="H16" s="24" t="s">
        <v>198</v>
      </c>
      <c r="I16" s="68" t="s">
        <v>199</v>
      </c>
    </row>
    <row r="17" customFormat="false" ht="18" hidden="false" customHeight="true" outlineLevel="0" collapsed="false">
      <c r="A17" s="69" t="s">
        <v>213</v>
      </c>
      <c r="B17" s="69" t="s">
        <v>48</v>
      </c>
      <c r="C17" s="69" t="n">
        <v>2</v>
      </c>
      <c r="D17" s="70" t="n">
        <v>100.25</v>
      </c>
      <c r="E17" s="71" t="n">
        <v>1203</v>
      </c>
      <c r="F17" s="72" t="n">
        <v>0.79</v>
      </c>
      <c r="G17" s="71" t="n">
        <v>950</v>
      </c>
      <c r="H17" s="69" t="s">
        <v>204</v>
      </c>
      <c r="I17" s="73" t="s">
        <v>205</v>
      </c>
    </row>
    <row r="18" customFormat="false" ht="18" hidden="false" customHeight="true" outlineLevel="0" collapsed="false">
      <c r="A18" s="69" t="s">
        <v>214</v>
      </c>
      <c r="B18" s="69" t="s">
        <v>48</v>
      </c>
      <c r="C18" s="69" t="n">
        <v>18</v>
      </c>
      <c r="D18" s="70" t="n">
        <v>92.49</v>
      </c>
      <c r="E18" s="71" t="n">
        <v>1110</v>
      </c>
      <c r="F18" s="72" t="n">
        <v>0.655</v>
      </c>
      <c r="G18" s="71" t="n">
        <v>727</v>
      </c>
      <c r="H18" s="69" t="s">
        <v>195</v>
      </c>
      <c r="I18" s="73" t="s">
        <v>196</v>
      </c>
    </row>
    <row r="19" customFormat="false" ht="18" hidden="false" customHeight="true" outlineLevel="0" collapsed="false">
      <c r="A19" s="61" t="s">
        <v>215</v>
      </c>
      <c r="B19" s="61" t="s">
        <v>48</v>
      </c>
      <c r="C19" s="61" t="n">
        <v>3</v>
      </c>
      <c r="D19" s="62" t="n">
        <v>85.79</v>
      </c>
      <c r="E19" s="63" t="n">
        <v>1029</v>
      </c>
      <c r="F19" s="64" t="n">
        <v>0.602</v>
      </c>
      <c r="G19" s="63" t="n">
        <v>619</v>
      </c>
      <c r="H19" s="61" t="s">
        <v>216</v>
      </c>
      <c r="I19" s="65" t="s">
        <v>217</v>
      </c>
    </row>
    <row r="20" customFormat="false" ht="18" hidden="false" customHeight="true" outlineLevel="0" collapsed="false">
      <c r="A20" s="24" t="s">
        <v>218</v>
      </c>
      <c r="B20" s="24" t="s">
        <v>52</v>
      </c>
      <c r="C20" s="24" t="n">
        <v>13</v>
      </c>
      <c r="D20" s="25" t="n">
        <v>54.03</v>
      </c>
      <c r="E20" s="66" t="n">
        <v>648</v>
      </c>
      <c r="F20" s="67" t="n">
        <v>0.812</v>
      </c>
      <c r="G20" s="66" t="n">
        <v>526</v>
      </c>
      <c r="H20" s="24" t="s">
        <v>204</v>
      </c>
      <c r="I20" s="68" t="s">
        <v>205</v>
      </c>
    </row>
    <row r="21" customFormat="false" ht="18" hidden="false" customHeight="true" outlineLevel="0" collapsed="false">
      <c r="A21" s="69" t="s">
        <v>219</v>
      </c>
      <c r="B21" s="69" t="s">
        <v>52</v>
      </c>
      <c r="C21" s="69" t="n">
        <v>13</v>
      </c>
      <c r="D21" s="70" t="n">
        <v>90.04</v>
      </c>
      <c r="E21" s="71" t="n">
        <v>1080</v>
      </c>
      <c r="F21" s="72" t="n">
        <v>0.672</v>
      </c>
      <c r="G21" s="71" t="n">
        <v>726</v>
      </c>
      <c r="H21" s="69" t="s">
        <v>208</v>
      </c>
      <c r="I21" s="73" t="s">
        <v>209</v>
      </c>
    </row>
    <row r="22" customFormat="false" ht="18" hidden="false" customHeight="true" outlineLevel="0" collapsed="false">
      <c r="A22" s="61" t="s">
        <v>220</v>
      </c>
      <c r="B22" s="61" t="s">
        <v>48</v>
      </c>
      <c r="C22" s="61" t="n">
        <v>14</v>
      </c>
      <c r="D22" s="62" t="n">
        <v>80.59</v>
      </c>
      <c r="E22" s="63" t="n">
        <v>967</v>
      </c>
      <c r="F22" s="64" t="n">
        <v>0.557</v>
      </c>
      <c r="G22" s="63" t="n">
        <v>539</v>
      </c>
      <c r="H22" s="61" t="s">
        <v>216</v>
      </c>
      <c r="I22" s="65" t="s">
        <v>217</v>
      </c>
    </row>
    <row r="23" customFormat="false" ht="18" hidden="false" customHeight="true" outlineLevel="0" collapsed="false">
      <c r="A23" s="69" t="s">
        <v>221</v>
      </c>
      <c r="B23" s="69" t="s">
        <v>48</v>
      </c>
      <c r="C23" s="69" t="n">
        <v>11</v>
      </c>
      <c r="D23" s="70" t="n">
        <v>111.34</v>
      </c>
      <c r="E23" s="71" t="n">
        <v>1336</v>
      </c>
      <c r="F23" s="72" t="n">
        <v>0.73</v>
      </c>
      <c r="G23" s="71" t="n">
        <v>975</v>
      </c>
      <c r="H23" s="69" t="s">
        <v>208</v>
      </c>
      <c r="I23" s="73" t="s">
        <v>209</v>
      </c>
    </row>
    <row r="24" customFormat="false" ht="18" hidden="false" customHeight="true" outlineLevel="0" collapsed="false">
      <c r="A24" s="24" t="s">
        <v>222</v>
      </c>
      <c r="B24" s="24" t="s">
        <v>48</v>
      </c>
      <c r="C24" s="24" t="n">
        <v>3</v>
      </c>
      <c r="D24" s="25" t="n">
        <v>65.71</v>
      </c>
      <c r="E24" s="66" t="n">
        <v>789</v>
      </c>
      <c r="F24" s="67" t="n">
        <v>0.842</v>
      </c>
      <c r="G24" s="66" t="n">
        <v>664</v>
      </c>
      <c r="H24" s="24" t="s">
        <v>195</v>
      </c>
      <c r="I24" s="68" t="s">
        <v>196</v>
      </c>
    </row>
    <row r="25" customFormat="false" ht="18" hidden="false" customHeight="true" outlineLevel="0" collapsed="false">
      <c r="A25" s="69" t="s">
        <v>223</v>
      </c>
      <c r="B25" s="69" t="s">
        <v>52</v>
      </c>
      <c r="C25" s="69" t="n">
        <v>17</v>
      </c>
      <c r="D25" s="70" t="n">
        <v>47.64</v>
      </c>
      <c r="E25" s="71" t="n">
        <v>572</v>
      </c>
      <c r="F25" s="72" t="n">
        <v>0.675</v>
      </c>
      <c r="G25" s="71" t="n">
        <v>386</v>
      </c>
      <c r="H25" s="69" t="s">
        <v>195</v>
      </c>
      <c r="I25" s="73" t="s">
        <v>196</v>
      </c>
    </row>
    <row r="26" customFormat="false" ht="18" hidden="false" customHeight="true" outlineLevel="0" collapsed="false">
      <c r="A26" s="61" t="s">
        <v>224</v>
      </c>
      <c r="B26" s="61" t="s">
        <v>52</v>
      </c>
      <c r="C26" s="61" t="n">
        <v>13</v>
      </c>
      <c r="D26" s="62" t="n">
        <v>55.8</v>
      </c>
      <c r="E26" s="63" t="n">
        <v>670</v>
      </c>
      <c r="F26" s="64" t="n">
        <v>0.617</v>
      </c>
      <c r="G26" s="63" t="n">
        <v>413</v>
      </c>
      <c r="H26" s="61" t="s">
        <v>195</v>
      </c>
      <c r="I26" s="65" t="s">
        <v>196</v>
      </c>
    </row>
    <row r="27" customFormat="false" ht="18" hidden="false" customHeight="true" outlineLevel="0" collapsed="false">
      <c r="A27" s="69" t="s">
        <v>225</v>
      </c>
      <c r="B27" s="69" t="s">
        <v>52</v>
      </c>
      <c r="C27" s="69" t="n">
        <v>15</v>
      </c>
      <c r="D27" s="70" t="n">
        <v>48.06</v>
      </c>
      <c r="E27" s="71" t="n">
        <v>577</v>
      </c>
      <c r="F27" s="72" t="n">
        <v>0.685</v>
      </c>
      <c r="G27" s="71" t="n">
        <v>395</v>
      </c>
      <c r="H27" s="69" t="s">
        <v>208</v>
      </c>
      <c r="I27" s="73" t="s">
        <v>209</v>
      </c>
    </row>
    <row r="28" customFormat="false" ht="18" hidden="false" customHeight="true" outlineLevel="0" collapsed="false">
      <c r="A28" s="24" t="s">
        <v>226</v>
      </c>
      <c r="B28" s="24" t="s">
        <v>52</v>
      </c>
      <c r="C28" s="24" t="n">
        <v>10</v>
      </c>
      <c r="D28" s="25" t="n">
        <v>97.67</v>
      </c>
      <c r="E28" s="66" t="n">
        <v>1172</v>
      </c>
      <c r="F28" s="67" t="n">
        <v>0.84</v>
      </c>
      <c r="G28" s="66" t="n">
        <v>984</v>
      </c>
      <c r="H28" s="24" t="s">
        <v>208</v>
      </c>
      <c r="I28" s="68" t="s">
        <v>209</v>
      </c>
    </row>
    <row r="29" customFormat="false" ht="18" hidden="false" customHeight="true" outlineLevel="0" collapsed="false">
      <c r="A29" s="24" t="s">
        <v>227</v>
      </c>
      <c r="B29" s="24" t="s">
        <v>48</v>
      </c>
      <c r="C29" s="24" t="n">
        <v>10</v>
      </c>
      <c r="D29" s="25" t="n">
        <v>112.59</v>
      </c>
      <c r="E29" s="66" t="n">
        <v>1351</v>
      </c>
      <c r="F29" s="67" t="n">
        <v>0.84</v>
      </c>
      <c r="G29" s="66" t="n">
        <v>1135</v>
      </c>
      <c r="H29" s="24" t="s">
        <v>208</v>
      </c>
      <c r="I29" s="68" t="s">
        <v>209</v>
      </c>
    </row>
    <row r="30" customFormat="false" ht="18" hidden="false" customHeight="true" outlineLevel="0" collapsed="false">
      <c r="A30" s="69" t="s">
        <v>228</v>
      </c>
      <c r="B30" s="69" t="s">
        <v>52</v>
      </c>
      <c r="C30" s="69" t="n">
        <v>15</v>
      </c>
      <c r="D30" s="70" t="n">
        <v>77.32</v>
      </c>
      <c r="E30" s="71" t="n">
        <v>928</v>
      </c>
      <c r="F30" s="72" t="n">
        <v>0.654</v>
      </c>
      <c r="G30" s="71" t="n">
        <v>607</v>
      </c>
      <c r="H30" s="69" t="s">
        <v>198</v>
      </c>
      <c r="I30" s="73" t="s">
        <v>199</v>
      </c>
    </row>
    <row r="31" customFormat="false" ht="18" hidden="false" customHeight="true" outlineLevel="0" collapsed="false">
      <c r="A31" s="24" t="s">
        <v>229</v>
      </c>
      <c r="B31" s="24" t="s">
        <v>52</v>
      </c>
      <c r="C31" s="24" t="n">
        <v>14</v>
      </c>
      <c r="D31" s="25" t="n">
        <v>112.64</v>
      </c>
      <c r="E31" s="66" t="n">
        <v>1352</v>
      </c>
      <c r="F31" s="67" t="n">
        <v>0.852</v>
      </c>
      <c r="G31" s="66" t="n">
        <v>1152</v>
      </c>
      <c r="H31" s="24" t="s">
        <v>195</v>
      </c>
      <c r="I31" s="68" t="s">
        <v>196</v>
      </c>
    </row>
    <row r="32" customFormat="false" ht="18" hidden="false" customHeight="true" outlineLevel="0" collapsed="false">
      <c r="A32" s="24" t="s">
        <v>230</v>
      </c>
      <c r="B32" s="24" t="s">
        <v>48</v>
      </c>
      <c r="C32" s="24" t="n">
        <v>2</v>
      </c>
      <c r="D32" s="25" t="n">
        <v>89.88</v>
      </c>
      <c r="E32" s="66" t="n">
        <v>1079</v>
      </c>
      <c r="F32" s="67" t="n">
        <v>0.873</v>
      </c>
      <c r="G32" s="66" t="n">
        <v>942</v>
      </c>
      <c r="H32" s="24" t="s">
        <v>195</v>
      </c>
      <c r="I32" s="68" t="s">
        <v>196</v>
      </c>
    </row>
    <row r="33" customFormat="false" ht="18" hidden="false" customHeight="true" outlineLevel="0" collapsed="false">
      <c r="A33" s="69" t="s">
        <v>231</v>
      </c>
      <c r="B33" s="69" t="s">
        <v>52</v>
      </c>
      <c r="C33" s="69" t="n">
        <v>17</v>
      </c>
      <c r="D33" s="70" t="n">
        <v>104.58</v>
      </c>
      <c r="E33" s="71" t="n">
        <v>1255</v>
      </c>
      <c r="F33" s="72" t="n">
        <v>0.655</v>
      </c>
      <c r="G33" s="71" t="n">
        <v>822</v>
      </c>
      <c r="H33" s="69" t="s">
        <v>208</v>
      </c>
      <c r="I33" s="73" t="s">
        <v>209</v>
      </c>
    </row>
    <row r="34" customFormat="false" ht="18" hidden="false" customHeight="true" outlineLevel="0" collapsed="false">
      <c r="A34" s="69" t="s">
        <v>232</v>
      </c>
      <c r="B34" s="69" t="s">
        <v>48</v>
      </c>
      <c r="C34" s="69" t="n">
        <v>17</v>
      </c>
      <c r="D34" s="70" t="n">
        <v>55.31</v>
      </c>
      <c r="E34" s="71" t="n">
        <v>664</v>
      </c>
      <c r="F34" s="72" t="n">
        <v>0.712</v>
      </c>
      <c r="G34" s="71" t="n">
        <v>473</v>
      </c>
      <c r="H34" s="69" t="s">
        <v>208</v>
      </c>
      <c r="I34" s="73" t="s">
        <v>209</v>
      </c>
    </row>
    <row r="35" customFormat="false" ht="18" hidden="false" customHeight="true" outlineLevel="0" collapsed="false">
      <c r="A35" s="69" t="s">
        <v>233</v>
      </c>
      <c r="B35" s="69" t="s">
        <v>48</v>
      </c>
      <c r="C35" s="69" t="n">
        <v>1</v>
      </c>
      <c r="D35" s="70" t="n">
        <v>74.04</v>
      </c>
      <c r="E35" s="71" t="n">
        <v>888</v>
      </c>
      <c r="F35" s="72" t="n">
        <v>0.697</v>
      </c>
      <c r="G35" s="71" t="n">
        <v>619</v>
      </c>
      <c r="H35" s="69" t="s">
        <v>216</v>
      </c>
      <c r="I35" s="73" t="s">
        <v>217</v>
      </c>
    </row>
    <row r="36" customFormat="false" ht="18" hidden="false" customHeight="true" outlineLevel="0" collapsed="false">
      <c r="A36" s="61" t="s">
        <v>234</v>
      </c>
      <c r="B36" s="61" t="s">
        <v>48</v>
      </c>
      <c r="C36" s="61" t="n">
        <v>3</v>
      </c>
      <c r="D36" s="62" t="n">
        <v>71.24</v>
      </c>
      <c r="E36" s="63" t="n">
        <v>855</v>
      </c>
      <c r="F36" s="64" t="n">
        <v>0.56</v>
      </c>
      <c r="G36" s="63" t="n">
        <v>479</v>
      </c>
      <c r="H36" s="61" t="s">
        <v>204</v>
      </c>
      <c r="I36" s="65" t="s">
        <v>205</v>
      </c>
    </row>
    <row r="37" customFormat="false" ht="18" hidden="false" customHeight="true" outlineLevel="0" collapsed="false">
      <c r="A37" s="24" t="s">
        <v>235</v>
      </c>
      <c r="B37" s="24" t="s">
        <v>48</v>
      </c>
      <c r="C37" s="24" t="n">
        <v>5</v>
      </c>
      <c r="D37" s="25" t="n">
        <v>47.68</v>
      </c>
      <c r="E37" s="66" t="n">
        <v>572</v>
      </c>
      <c r="F37" s="67" t="n">
        <v>0.889</v>
      </c>
      <c r="G37" s="66" t="n">
        <v>509</v>
      </c>
      <c r="H37" s="24" t="s">
        <v>198</v>
      </c>
      <c r="I37" s="68" t="s">
        <v>199</v>
      </c>
    </row>
    <row r="38" customFormat="false" ht="18" hidden="false" customHeight="true" outlineLevel="0" collapsed="false">
      <c r="A38" s="61" t="s">
        <v>236</v>
      </c>
      <c r="B38" s="61" t="s">
        <v>52</v>
      </c>
      <c r="C38" s="61" t="n">
        <v>16</v>
      </c>
      <c r="D38" s="62" t="n">
        <v>76.4</v>
      </c>
      <c r="E38" s="63" t="n">
        <v>917</v>
      </c>
      <c r="F38" s="64" t="n">
        <v>0.552</v>
      </c>
      <c r="G38" s="63" t="n">
        <v>506</v>
      </c>
      <c r="H38" s="61" t="s">
        <v>204</v>
      </c>
      <c r="I38" s="65" t="s">
        <v>205</v>
      </c>
    </row>
    <row r="39" customFormat="false" ht="18" hidden="false" customHeight="true" outlineLevel="0" collapsed="false">
      <c r="A39" s="69" t="s">
        <v>237</v>
      </c>
      <c r="B39" s="69" t="s">
        <v>48</v>
      </c>
      <c r="C39" s="69" t="n">
        <v>7</v>
      </c>
      <c r="D39" s="70" t="n">
        <v>103.45</v>
      </c>
      <c r="E39" s="71" t="n">
        <v>1241</v>
      </c>
      <c r="F39" s="72" t="n">
        <v>0.753</v>
      </c>
      <c r="G39" s="71" t="n">
        <v>934</v>
      </c>
      <c r="H39" s="69" t="s">
        <v>195</v>
      </c>
      <c r="I39" s="73" t="s">
        <v>196</v>
      </c>
    </row>
    <row r="40" customFormat="false" ht="18" hidden="false" customHeight="true" outlineLevel="0" collapsed="false">
      <c r="A40" s="61" t="s">
        <v>238</v>
      </c>
      <c r="B40" s="61" t="s">
        <v>48</v>
      </c>
      <c r="C40" s="61" t="n">
        <v>4</v>
      </c>
      <c r="D40" s="62" t="n">
        <v>99.33</v>
      </c>
      <c r="E40" s="63" t="n">
        <v>1192</v>
      </c>
      <c r="F40" s="64" t="n">
        <v>0.638</v>
      </c>
      <c r="G40" s="63" t="n">
        <v>760</v>
      </c>
      <c r="H40" s="61" t="s">
        <v>204</v>
      </c>
      <c r="I40" s="65" t="s">
        <v>205</v>
      </c>
    </row>
    <row r="41" customFormat="false" ht="18" hidden="false" customHeight="true" outlineLevel="0" collapsed="false">
      <c r="A41" s="69" t="s">
        <v>239</v>
      </c>
      <c r="B41" s="69" t="s">
        <v>48</v>
      </c>
      <c r="C41" s="69" t="n">
        <v>14</v>
      </c>
      <c r="D41" s="70" t="n">
        <v>89.73</v>
      </c>
      <c r="E41" s="71" t="n">
        <v>1077</v>
      </c>
      <c r="F41" s="72" t="n">
        <v>0.78</v>
      </c>
      <c r="G41" s="71" t="n">
        <v>840</v>
      </c>
      <c r="H41" s="69" t="s">
        <v>204</v>
      </c>
      <c r="I41" s="73" t="s">
        <v>205</v>
      </c>
    </row>
    <row r="42" customFormat="false" ht="18" hidden="false" customHeight="true" outlineLevel="0" collapsed="false">
      <c r="A42" s="69" t="s">
        <v>240</v>
      </c>
      <c r="B42" s="69" t="s">
        <v>48</v>
      </c>
      <c r="C42" s="69" t="n">
        <v>18</v>
      </c>
      <c r="D42" s="70" t="n">
        <v>46.15</v>
      </c>
      <c r="E42" s="71" t="n">
        <v>554</v>
      </c>
      <c r="F42" s="72" t="n">
        <v>0.741</v>
      </c>
      <c r="G42" s="71" t="n">
        <v>411</v>
      </c>
      <c r="H42" s="69" t="s">
        <v>208</v>
      </c>
      <c r="I42" s="73" t="s">
        <v>209</v>
      </c>
    </row>
    <row r="43" customFormat="false" ht="18" hidden="false" customHeight="true" outlineLevel="0" collapsed="false">
      <c r="A43" s="69" t="s">
        <v>241</v>
      </c>
      <c r="B43" s="69" t="s">
        <v>48</v>
      </c>
      <c r="C43" s="69" t="n">
        <v>14</v>
      </c>
      <c r="D43" s="70" t="n">
        <v>45.11</v>
      </c>
      <c r="E43" s="71" t="n">
        <v>541</v>
      </c>
      <c r="F43" s="72" t="n">
        <v>0.681</v>
      </c>
      <c r="G43" s="71" t="n">
        <v>368</v>
      </c>
      <c r="H43" s="69" t="s">
        <v>195</v>
      </c>
      <c r="I43" s="73" t="s">
        <v>196</v>
      </c>
    </row>
    <row r="44" customFormat="false" ht="18" hidden="false" customHeight="true" outlineLevel="0" collapsed="false">
      <c r="A44" s="69" t="s">
        <v>242</v>
      </c>
      <c r="B44" s="69" t="s">
        <v>48</v>
      </c>
      <c r="C44" s="69" t="n">
        <v>3</v>
      </c>
      <c r="D44" s="70" t="n">
        <v>81.64</v>
      </c>
      <c r="E44" s="71" t="n">
        <v>980</v>
      </c>
      <c r="F44" s="72" t="n">
        <v>0.683</v>
      </c>
      <c r="G44" s="71" t="n">
        <v>669</v>
      </c>
      <c r="H44" s="69" t="s">
        <v>195</v>
      </c>
      <c r="I44" s="73" t="s">
        <v>196</v>
      </c>
    </row>
    <row r="45" customFormat="false" ht="18" hidden="false" customHeight="true" outlineLevel="0" collapsed="false">
      <c r="A45" s="69" t="s">
        <v>243</v>
      </c>
      <c r="B45" s="69" t="s">
        <v>52</v>
      </c>
      <c r="C45" s="69" t="n">
        <v>17</v>
      </c>
      <c r="D45" s="70" t="n">
        <v>83.79</v>
      </c>
      <c r="E45" s="71" t="n">
        <v>1005</v>
      </c>
      <c r="F45" s="72" t="n">
        <v>0.694</v>
      </c>
      <c r="G45" s="71" t="n">
        <v>697</v>
      </c>
      <c r="H45" s="69" t="s">
        <v>198</v>
      </c>
      <c r="I45" s="73" t="s">
        <v>199</v>
      </c>
    </row>
    <row r="46" customFormat="false" ht="17.25" hidden="false" customHeight="true" outlineLevel="0" collapsed="false">
      <c r="A46" s="38" t="s">
        <v>244</v>
      </c>
      <c r="B46" s="38"/>
      <c r="C46" s="38"/>
      <c r="D46" s="38"/>
      <c r="E46" s="38"/>
      <c r="F46" s="38"/>
      <c r="G46" s="74" t="n">
        <f aca="false">SUM(G6:G45)</f>
        <v>26997</v>
      </c>
    </row>
  </sheetData>
  <mergeCells count="4">
    <mergeCell ref="A1:L1"/>
    <mergeCell ref="A2:L2"/>
    <mergeCell ref="A4:J4"/>
    <mergeCell ref="A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2026-04-10T19:47:41Z</dcterms:created>
  <dc:creator>openpyxl</dc:creator>
  <dc:description/>
  <dc:language>en-US</dc:language>
  <cp:lastModifiedBy/>
  <dcterms:modified xsi:type="dcterms:W3CDTF">2026-04-10T22:48:11Z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