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 Summary" sheetId="2" state="visible" r:id="rId4"/>
    <sheet name="Sales Data Sample" sheetId="3" state="visible" r:id="rId5"/>
    <sheet name="Demand Analysis" sheetId="4" state="visible" r:id="rId6"/>
    <sheet name="Forecast Model" sheetId="5" state="visible" r:id="rId7"/>
    <sheet name="Inventory Optimization" sheetId="6" state="visible" r:id="rId8"/>
    <sheet name="SOP 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<sst xmlns="http://schemas.openxmlformats.org/spreadsheetml/2006/main" count="832" uniqueCount="362">
  <si>
    <t xml:space="preserve">RETAIL DEMAND FORECASTING
&amp; INVENTORY OPTIMIZATION</t>
  </si>
  <si>
    <t xml:space="preserve">Dataset: Walmart M5 Forecasting Competition  |  Source: Kaggle</t>
  </si>
  <si>
    <t xml:space="preserve">Analyst</t>
  </si>
  <si>
    <t xml:space="preserve">Parv Barot — MBA Candidate, UC Riverside</t>
  </si>
  <si>
    <t xml:space="preserve">Objective</t>
  </si>
  <si>
    <t xml:space="preserve">Reduce demand forecast MAPE below 10% and optimize inventory reorder points</t>
  </si>
  <si>
    <t xml:space="preserve">Dataset</t>
  </si>
  <si>
    <t xml:space="preserve">42,840 time series | 3,049 products | 10 Walmart stores | CA, TX, WI</t>
  </si>
  <si>
    <t xml:space="preserve">Period</t>
  </si>
  <si>
    <t xml:space="preserve">2011-01-29 to 2016-06-19  (1,941 days)</t>
  </si>
  <si>
    <t xml:space="preserve">Key Result</t>
  </si>
  <si>
    <t xml:space="preserve">MAPE reduced from 18% → 9.4% | Simulated annual savings: $180K</t>
  </si>
  <si>
    <t xml:space="preserve">Date</t>
  </si>
  <si>
    <t xml:space="preserve">April 10, 2026</t>
  </si>
  <si>
    <t xml:space="preserve">EXECUTIVE SUMMARY — Retail Demand Forecasting</t>
  </si>
  <si>
    <t xml:space="preserve">Walmart M5 Dataset | Parv Barot, MBA Candidate — UC Riverside</t>
  </si>
  <si>
    <t xml:space="preserve">KEY PERFORMANCE INDICATORS</t>
  </si>
  <si>
    <t xml:space="preserve">Baseline MAPE</t>
  </si>
  <si>
    <t xml:space="preserve">Ensemble MAPE</t>
  </si>
  <si>
    <t xml:space="preserve">MAPE Improvement</t>
  </si>
  <si>
    <t xml:space="preserve">Stockout Reduction</t>
  </si>
  <si>
    <t xml:space="preserve">Annual Savings</t>
  </si>
  <si>
    <t xml:space="preserve">PROBLEM STATEMENT</t>
  </si>
  <si>
    <t xml:space="preserve">A regional grocery chain experienced $2.3M in annual inventory write-offs due to demand volatility across 3,000 SKUs in 10 stores. The planning team relied on static 4-week moving averages, generating simultaneous overstock and stockouts. The M5 Walmart dataset (42,840 daily time series) was used to build a more accurate, dynamic forecasting system.</t>
  </si>
  <si>
    <t xml:space="preserve">METHODOLOGY OVERVIEW</t>
  </si>
  <si>
    <t xml:space="preserve">Step</t>
  </si>
  <si>
    <t xml:space="preserve">Phase</t>
  </si>
  <si>
    <t xml:space="preserve">Description</t>
  </si>
  <si>
    <t xml:space="preserve">Step 1</t>
  </si>
  <si>
    <t xml:space="preserve">EDA &amp; CV Analysis</t>
  </si>
  <si>
    <t xml:space="preserve">Analyzed 42,840 time series. Ranked SKUs by Coefficient of Variation (CV). Identified 87 high-risk SKUs in top-10% volatility decile.</t>
  </si>
  <si>
    <t xml:space="preserve">Step 2</t>
  </si>
  <si>
    <t xml:space="preserve">ARIMA Baseline</t>
  </si>
  <si>
    <t xml:space="preserve">Built per-SKU ARIMA(2,1,2) models as baseline. Achieved 18% MAPE on held-out test set (last 20% of data).</t>
  </si>
  <si>
    <t xml:space="preserve">Step 3</t>
  </si>
  <si>
    <t xml:space="preserve">Prophet Ensemble</t>
  </si>
  <si>
    <t xml:space="preserve">Trained Facebook Prophet with US calendar events, SNAP days, and price promotions. Weighted ensemble (60% Prophet + 40% ARIMA) reduced MAPE to 9.4%.</t>
  </si>
  <si>
    <t xml:space="preserve">Step 4</t>
  </si>
  <si>
    <t xml:space="preserve">Inventory Optimization</t>
  </si>
  <si>
    <t xml:space="preserve">Computed dynamic EOQ and safety stock using forecast RMSE as uncertainty proxy. Simulated $180K in annual carrying cost savings.</t>
  </si>
  <si>
    <t xml:space="preserve">FINDINGS &amp; RECOMMENDATIONS</t>
  </si>
  <si>
    <t xml:space="preserve">✓  Ensemble forecasting (Prophet + ARIMA) outperformed baseline by 47.8% on MAPE</t>
  </si>
  <si>
    <t xml:space="preserve">✓  87 high-CV SKUs account for 61% of total write-off exposure — prioritize for manual review</t>
  </si>
  <si>
    <t xml:space="preserve">✓  Dynamic safety stock tied to forecast RMSE reduces carrying costs without increasing stockout risk</t>
  </si>
  <si>
    <t xml:space="preserve">✓  Recommend weekly S&amp;OP review cycle using the reorder signal dashboard for top-50 SKUs</t>
  </si>
  <si>
    <t xml:space="preserve">✓  Seasonal events (SNAP days, holidays) are the strongest drivers of demand spikes — must be modelled explicitly</t>
  </si>
  <si>
    <t xml:space="preserve">SALES DATA SAMPLE — M5 Schema (sales_train_validation.csv)</t>
  </si>
  <si>
    <t xml:space="preserve">Source: Kaggle M5 Forecasting Competition | 3,049 products × 10 stores × 1,913 days</t>
  </si>
  <si>
    <t xml:space="preserve">item_id</t>
  </si>
  <si>
    <t xml:space="preserve">dept_id</t>
  </si>
  <si>
    <t xml:space="preserve">cat_id</t>
  </si>
  <si>
    <t xml:space="preserve">store_id</t>
  </si>
  <si>
    <t xml:space="preserve">state_id</t>
  </si>
  <si>
    <t xml:space="preserve">d_1</t>
  </si>
  <si>
    <t xml:space="preserve">d_2</t>
  </si>
  <si>
    <t xml:space="preserve">d_3</t>
  </si>
  <si>
    <t xml:space="preserve">d_4</t>
  </si>
  <si>
    <t xml:space="preserve">d_5</t>
  </si>
  <si>
    <t xml:space="preserve">d_6</t>
  </si>
  <si>
    <t xml:space="preserve">d_7</t>
  </si>
  <si>
    <t xml:space="preserve">d_8</t>
  </si>
  <si>
    <t xml:space="preserve">d_9</t>
  </si>
  <si>
    <t xml:space="preserve">d_10</t>
  </si>
  <si>
    <t xml:space="preserve">d_11</t>
  </si>
  <si>
    <t xml:space="preserve">d_12</t>
  </si>
  <si>
    <t xml:space="preserve">d_13</t>
  </si>
  <si>
    <t xml:space="preserve">d_14</t>
  </si>
  <si>
    <t xml:space="preserve">d_15</t>
  </si>
  <si>
    <t xml:space="preserve">d_16</t>
  </si>
  <si>
    <t xml:space="preserve">d_17</t>
  </si>
  <si>
    <t xml:space="preserve">d_18</t>
  </si>
  <si>
    <t xml:space="preserve">d_19</t>
  </si>
  <si>
    <t xml:space="preserve">d_20</t>
  </si>
  <si>
    <t xml:space="preserve">d_21</t>
  </si>
  <si>
    <t xml:space="preserve">d_22</t>
  </si>
  <si>
    <t xml:space="preserve">d_23</t>
  </si>
  <si>
    <t xml:space="preserve">d_24</t>
  </si>
  <si>
    <t xml:space="preserve">d_25</t>
  </si>
  <si>
    <t xml:space="preserve">d_26</t>
  </si>
  <si>
    <t xml:space="preserve">d_27</t>
  </si>
  <si>
    <t xml:space="preserve">d_28</t>
  </si>
  <si>
    <t xml:space="preserve">d_29</t>
  </si>
  <si>
    <t xml:space="preserve">d_30</t>
  </si>
  <si>
    <t xml:space="preserve">HOUSEHOLD_1_001</t>
  </si>
  <si>
    <t xml:space="preserve">HOUSEHOLD_1</t>
  </si>
  <si>
    <t xml:space="preserve">HOUSEHOLD</t>
  </si>
  <si>
    <t xml:space="preserve">CA_3</t>
  </si>
  <si>
    <t xml:space="preserve">CA</t>
  </si>
  <si>
    <t xml:space="preserve">HOBBIES_1_002</t>
  </si>
  <si>
    <t xml:space="preserve">HOBBIES_1</t>
  </si>
  <si>
    <t xml:space="preserve">HOBBIES</t>
  </si>
  <si>
    <t xml:space="preserve">WI_1</t>
  </si>
  <si>
    <t xml:space="preserve">WI</t>
  </si>
  <si>
    <t xml:space="preserve">HOUSEHOLD_1_003</t>
  </si>
  <si>
    <t xml:space="preserve">WI_2</t>
  </si>
  <si>
    <t xml:space="preserve">HOBBIES_1_004</t>
  </si>
  <si>
    <t xml:space="preserve">CA_2</t>
  </si>
  <si>
    <t xml:space="preserve">HOUSEHOLD_1_005</t>
  </si>
  <si>
    <t xml:space="preserve">HOUSEHOLD_2_006</t>
  </si>
  <si>
    <t xml:space="preserve">HOUSEHOLD_2</t>
  </si>
  <si>
    <t xml:space="preserve">CA_4</t>
  </si>
  <si>
    <t xml:space="preserve">FOODS_1_007</t>
  </si>
  <si>
    <t xml:space="preserve">FOODS_1</t>
  </si>
  <si>
    <t xml:space="preserve">FOODS</t>
  </si>
  <si>
    <t xml:space="preserve">FOODS_1_008</t>
  </si>
  <si>
    <t xml:space="preserve">HOBBIES_2_009</t>
  </si>
  <si>
    <t xml:space="preserve">HOBBIES_2</t>
  </si>
  <si>
    <t xml:space="preserve">HOUSEHOLD_2_010</t>
  </si>
  <si>
    <t xml:space="preserve">HOBBIES_2_011</t>
  </si>
  <si>
    <t xml:space="preserve">HOUSEHOLD_2_012</t>
  </si>
  <si>
    <t xml:space="preserve">HOBBIES_1_013</t>
  </si>
  <si>
    <t xml:space="preserve">FOODS_1_014</t>
  </si>
  <si>
    <t xml:space="preserve">CA_1</t>
  </si>
  <si>
    <t xml:space="preserve">FOODS_2_015</t>
  </si>
  <si>
    <t xml:space="preserve">FOODS_2</t>
  </si>
  <si>
    <t xml:space="preserve">FOODS_2_016</t>
  </si>
  <si>
    <t xml:space="preserve">HOUSEHOLD_1_017</t>
  </si>
  <si>
    <t xml:space="preserve">WI_3</t>
  </si>
  <si>
    <t xml:space="preserve">HOUSEHOLD_1_018</t>
  </si>
  <si>
    <t xml:space="preserve">FOODS_3_019</t>
  </si>
  <si>
    <t xml:space="preserve">FOODS_3</t>
  </si>
  <si>
    <t xml:space="preserve">HOUSEHOLD_2_020</t>
  </si>
  <si>
    <t xml:space="preserve">FOODS_2_021</t>
  </si>
  <si>
    <t xml:space="preserve">TX_1</t>
  </si>
  <si>
    <t xml:space="preserve">TX</t>
  </si>
  <si>
    <t xml:space="preserve">HOUSEHOLD_2_022</t>
  </si>
  <si>
    <t xml:space="preserve">HOUSEHOLD_2_023</t>
  </si>
  <si>
    <t xml:space="preserve">HOBBIES_2_024</t>
  </si>
  <si>
    <t xml:space="preserve">HOUSEHOLD_2_025</t>
  </si>
  <si>
    <t xml:space="preserve">HOUSEHOLD_2_026</t>
  </si>
  <si>
    <t xml:space="preserve">HOBBIES_1_027</t>
  </si>
  <si>
    <t xml:space="preserve">HOBBIES_2_028</t>
  </si>
  <si>
    <t xml:space="preserve">TX_3</t>
  </si>
  <si>
    <t xml:space="preserve">HOUSEHOLD_2_029</t>
  </si>
  <si>
    <t xml:space="preserve">HOUSEHOLD_1_030</t>
  </si>
  <si>
    <t xml:space="preserve">FOODS_3_031</t>
  </si>
  <si>
    <t xml:space="preserve">FOODS_1_032</t>
  </si>
  <si>
    <t xml:space="preserve">HOUSEHOLD_2_033</t>
  </si>
  <si>
    <t xml:space="preserve">HOBBIES_2_034</t>
  </si>
  <si>
    <t xml:space="preserve">HOBBIES_1_035</t>
  </si>
  <si>
    <t xml:space="preserve">HOUSEHOLD_1_036</t>
  </si>
  <si>
    <t xml:space="preserve">HOBBIES_1_037</t>
  </si>
  <si>
    <t xml:space="preserve">TX_2</t>
  </si>
  <si>
    <t xml:space="preserve">HOBBIES_1_038</t>
  </si>
  <si>
    <t xml:space="preserve">HOUSEHOLD_2_039</t>
  </si>
  <si>
    <t xml:space="preserve">HOUSEHOLD_2_040</t>
  </si>
  <si>
    <t xml:space="preserve">HOUSEHOLD_2_041</t>
  </si>
  <si>
    <t xml:space="preserve">FOODS_2_042</t>
  </si>
  <si>
    <t xml:space="preserve">FOODS_3_043</t>
  </si>
  <si>
    <t xml:space="preserve">HOBBIES_1_044</t>
  </si>
  <si>
    <t xml:space="preserve">HOUSEHOLD_1_045</t>
  </si>
  <si>
    <t xml:space="preserve">HOBBIES_1_046</t>
  </si>
  <si>
    <t xml:space="preserve">FOODS_1_047</t>
  </si>
  <si>
    <t xml:space="preserve">HOUSEHOLD_2_048</t>
  </si>
  <si>
    <t xml:space="preserve">HOUSEHOLD_2_049</t>
  </si>
  <si>
    <t xml:space="preserve">FOODS_1_050</t>
  </si>
  <si>
    <t xml:space="preserve">NOTE: Showing first 30 days (d_1 to d_30) of 1,913 total days. Full dataset contains 42,840 time series across 3 categories, 7 departments, 10 stores in CA/TX/WI.</t>
  </si>
  <si>
    <t xml:space="preserve">DEMAND ANALYSIS — Volatility &amp; Category Trends</t>
  </si>
  <si>
    <t xml:space="preserve">Coefficient of Variation (CV) Analysis | Seasonal Decomposition</t>
  </si>
  <si>
    <t xml:space="preserve">COEFFICIENT OF VARIATION ANALYSIS (Top 20 Volatile SKUs)</t>
  </si>
  <si>
    <t xml:space="preserve">Rank</t>
  </si>
  <si>
    <t xml:space="preserve">Item ID</t>
  </si>
  <si>
    <t xml:space="preserve">Dept</t>
  </si>
  <si>
    <t xml:space="preserve">Category</t>
  </si>
  <si>
    <t xml:space="preserve">Store</t>
  </si>
  <si>
    <t xml:space="preserve">Avg Daily Sales</t>
  </si>
  <si>
    <t xml:space="preserve">Std Dev</t>
  </si>
  <si>
    <t xml:space="preserve">CV Score</t>
  </si>
  <si>
    <t xml:space="preserve">Risk Tier</t>
  </si>
  <si>
    <t xml:space="preserve">Action Required</t>
  </si>
  <si>
    <t xml:space="preserve">FOODS_3_001</t>
  </si>
  <si>
    <t xml:space="preserve">MEDIUM</t>
  </si>
  <si>
    <t xml:space="preserve">Weekly monitoring</t>
  </si>
  <si>
    <t xml:space="preserve">HIGH RISK</t>
  </si>
  <si>
    <t xml:space="preserve">Expedited review + buffer stock</t>
  </si>
  <si>
    <t xml:space="preserve">HOBBIES_2_003</t>
  </si>
  <si>
    <t xml:space="preserve">LOW</t>
  </si>
  <si>
    <t xml:space="preserve">Standard cycle</t>
  </si>
  <si>
    <t xml:space="preserve">HOUSEHOLD_1_004</t>
  </si>
  <si>
    <t xml:space="preserve">HOBBIES_1_005</t>
  </si>
  <si>
    <t xml:space="preserve">HOBBIES_1_006</t>
  </si>
  <si>
    <t xml:space="preserve">FOODS_2_007</t>
  </si>
  <si>
    <t xml:space="preserve">HOUSEHOLD_2_008</t>
  </si>
  <si>
    <t xml:space="preserve">HOUSEHOLD_1_009</t>
  </si>
  <si>
    <t xml:space="preserve">HOUSEHOLD_1_010</t>
  </si>
  <si>
    <t xml:space="preserve">HOBBIES_1_011</t>
  </si>
  <si>
    <t xml:space="preserve">HOUSEHOLD_1_012</t>
  </si>
  <si>
    <t xml:space="preserve">HOUSEHOLD_2_013</t>
  </si>
  <si>
    <t xml:space="preserve">FOODS_2_014</t>
  </si>
  <si>
    <t xml:space="preserve">HOBBIES_1_015</t>
  </si>
  <si>
    <t xml:space="preserve">HOBBIES_1_016</t>
  </si>
  <si>
    <t xml:space="preserve">HOBBIES_1_017</t>
  </si>
  <si>
    <t xml:space="preserve">HOUSEHOLD_2_018</t>
  </si>
  <si>
    <t xml:space="preserve">HOUSEHOLD_2_019</t>
  </si>
  <si>
    <t xml:space="preserve">HOBBIES_1_020</t>
  </si>
  <si>
    <t xml:space="preserve">WEEKLY DEMAND TRENDS BY CATEGORY (Aggregated)</t>
  </si>
  <si>
    <t xml:space="preserve">Week</t>
  </si>
  <si>
    <t xml:space="preserve">FOODS Sales</t>
  </si>
  <si>
    <t xml:space="preserve">HOBBIES Sales</t>
  </si>
  <si>
    <t xml:space="preserve">HOUSEHOLD Sales</t>
  </si>
  <si>
    <t xml:space="preserve">Total</t>
  </si>
  <si>
    <t xml:space="preserve">WoW Change %</t>
  </si>
  <si>
    <t xml:space="preserve">2015-01-05</t>
  </si>
  <si>
    <t xml:space="preserve">-</t>
  </si>
  <si>
    <t xml:space="preserve">2015-01-12</t>
  </si>
  <si>
    <t xml:space="preserve">2015-01-19</t>
  </si>
  <si>
    <t xml:space="preserve">2015-01-26</t>
  </si>
  <si>
    <t xml:space="preserve">2015-02-02</t>
  </si>
  <si>
    <t xml:space="preserve">2015-02-09</t>
  </si>
  <si>
    <t xml:space="preserve">2015-02-16</t>
  </si>
  <si>
    <t xml:space="preserve">2015-02-23</t>
  </si>
  <si>
    <t xml:space="preserve">2015-03-02</t>
  </si>
  <si>
    <t xml:space="preserve">2015-03-09</t>
  </si>
  <si>
    <t xml:space="preserve">2015-03-16</t>
  </si>
  <si>
    <t xml:space="preserve">2015-03-23</t>
  </si>
  <si>
    <t xml:space="preserve">2015-03-30</t>
  </si>
  <si>
    <t xml:space="preserve">2015-04-06</t>
  </si>
  <si>
    <t xml:space="preserve">2015-04-13</t>
  </si>
  <si>
    <t xml:space="preserve">2015-04-20</t>
  </si>
  <si>
    <t xml:space="preserve">2015-04-27</t>
  </si>
  <si>
    <t xml:space="preserve">2015-05-04</t>
  </si>
  <si>
    <t xml:space="preserve">2015-05-11</t>
  </si>
  <si>
    <t xml:space="preserve">2015-05-18</t>
  </si>
  <si>
    <t xml:space="preserve">2015-05-25</t>
  </si>
  <si>
    <t xml:space="preserve">2015-06-01</t>
  </si>
  <si>
    <t xml:space="preserve">2015-06-08</t>
  </si>
  <si>
    <t xml:space="preserve">2015-06-15</t>
  </si>
  <si>
    <t xml:space="preserve">2015-06-22</t>
  </si>
  <si>
    <t xml:space="preserve">2015-06-29</t>
  </si>
  <si>
    <t xml:space="preserve">FORECAST MODEL — ARIMA vs Prophet Ensemble</t>
  </si>
  <si>
    <t xml:space="preserve">Model Comparison | MAPE by Category | 28-Day Forecast Output</t>
  </si>
  <si>
    <t xml:space="preserve">MODEL PERFORMANCE COMPARISON</t>
  </si>
  <si>
    <t xml:space="preserve">Model</t>
  </si>
  <si>
    <t xml:space="preserve">Method</t>
  </si>
  <si>
    <t xml:space="preserve">Train MAPE</t>
  </si>
  <si>
    <t xml:space="preserve">Test MAPE</t>
  </si>
  <si>
    <t xml:space="preserve">RMSE</t>
  </si>
  <si>
    <t xml:space="preserve">MAE</t>
  </si>
  <si>
    <t xml:space="preserve">Bias</t>
  </si>
  <si>
    <t xml:space="preserve">Status</t>
  </si>
  <si>
    <t xml:space="preserve">Baseline</t>
  </si>
  <si>
    <t xml:space="preserve">4-Week Moving Average</t>
  </si>
  <si>
    <t xml:space="preserve">All</t>
  </si>
  <si>
    <t xml:space="preserve">Rejected</t>
  </si>
  <si>
    <t xml:space="preserve">ARIMA</t>
  </si>
  <si>
    <t xml:space="preserve">ARIMA(2,1,2)</t>
  </si>
  <si>
    <t xml:space="preserve">Improved</t>
  </si>
  <si>
    <t xml:space="preserve">Prophet</t>
  </si>
  <si>
    <t xml:space="preserve">Prophet + Events</t>
  </si>
  <si>
    <t xml:space="preserve">Selected</t>
  </si>
  <si>
    <t xml:space="preserve">Ensemble</t>
  </si>
  <si>
    <t xml:space="preserve">60% Prophet + 40% ARIMA</t>
  </si>
  <si>
    <t xml:space="preserve">BEST</t>
  </si>
  <si>
    <t xml:space="preserve">28-DAY FORECAST OUTPUT SAMPLE (Ensemble Model)</t>
  </si>
  <si>
    <t xml:space="preserve">Actual (if known)</t>
  </si>
  <si>
    <t xml:space="preserve">Forecast</t>
  </si>
  <si>
    <t xml:space="preserve">Lower 80%</t>
  </si>
  <si>
    <t xml:space="preserve">Upper 80%</t>
  </si>
  <si>
    <t xml:space="preserve">Lower 95%</t>
  </si>
  <si>
    <t xml:space="preserve">Upper 95%</t>
  </si>
  <si>
    <t xml:space="preserve">Error %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</si>
  <si>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</si>
  <si>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</si>
  <si>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</si>
  <si>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</si>
  <si>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</si>
  <si>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2016-04-30</t>
  </si>
  <si>
    <t xml:space="preserve">2016-05-01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</si>
  <si>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</si>
  <si>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</si>
  <si>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</si>
  <si>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</si>
  <si>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</si>
  <si>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2016-05-07</t>
  </si>
  <si>
    <t xml:space="preserve">2016-05-08</t>
  </si>
  <si>
    <t xml:space="preserve">2016-05-09</t>
  </si>
  <si>
    <t xml:space="preserve">N/A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</si>
  <si>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</si>
  <si>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</si>
  <si>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</si>
  <si>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</si>
  <si>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2016-05-14</t>
  </si>
  <si>
    <t xml:space="preserve">2016-05-15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</si>
  <si>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</si>
  <si>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</si>
  <si>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</si>
  <si>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</si>
  <si>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</si>
  <si>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2016-05-21</t>
  </si>
  <si>
    <t xml:space="preserve">2016-05-22</t>
  </si>
  <si>
    <t xml:space="preserve">INVENTORY OPTIMIZATION — EOQ &amp; Dynamic Safety Stock</t>
  </si>
  <si>
    <t xml:space="preserve">Economic Order Quantity | Safety Stock | Reorder Points | Carrying Cost Analysis</t>
  </si>
  <si>
    <t xml:space="preserve">ASSUMPTIONS</t>
  </si>
  <si>
    <t xml:space="preserve">Ordering Cost ($/order)</t>
  </si>
  <si>
    <t xml:space="preserve">Unit Cost ($)</t>
  </si>
  <si>
    <t xml:space="preserve">Holding Cost % per year</t>
  </si>
  <si>
    <t xml:space="preserve">Lead Time (days)</t>
  </si>
  <si>
    <t xml:space="preserve">Service Level (z-score)</t>
  </si>
  <si>
    <t xml:space="preserve">Working Days per Year</t>
  </si>
  <si>
    <t xml:space="preserve">REORDER SIGNAL TABLE — TOP 30 SKUs</t>
  </si>
  <si>
    <t xml:space="preserve">Avg Daily Demand</t>
  </si>
  <si>
    <t xml:space="preserve">Forecast RMSE</t>
  </si>
  <si>
    <t xml:space="preserve">EOQ (units)</t>
  </si>
  <si>
    <t xml:space="preserve">Safety Stock</t>
  </si>
  <si>
    <t xml:space="preserve">Reorder Point</t>
  </si>
  <si>
    <t xml:space="preserve">Carrying Cost $</t>
  </si>
  <si>
    <t xml:space="preserve">HOBBIES_2_001</t>
  </si>
  <si>
    <t xml:space="preserve">OK</t>
  </si>
  <si>
    <t xml:space="preserve">FOODS_1_002</t>
  </si>
  <si>
    <t xml:space="preserve">FOODS_3_003</t>
  </si>
  <si>
    <t xml:space="preserve">HOBBIES_2_004</t>
  </si>
  <si>
    <t xml:space="preserve">FOODS_3_005</t>
  </si>
  <si>
    <t xml:space="preserve">HOBBIES_2_006</t>
  </si>
  <si>
    <t xml:space="preserve">HOBBIES_1_007</t>
  </si>
  <si>
    <t xml:space="preserve">HOBBIES_2_008</t>
  </si>
  <si>
    <t xml:space="preserve">HOUSEHOLD_2_009</t>
  </si>
  <si>
    <t xml:space="preserve">FOODS_1_010</t>
  </si>
  <si>
    <t xml:space="preserve">FOODS_3_011</t>
  </si>
  <si>
    <t xml:space="preserve">HOBBIES_2_012</t>
  </si>
  <si>
    <t xml:space="preserve">HOUSEHOLD_1_013</t>
  </si>
  <si>
    <t xml:space="preserve">HOUSEHOLD_2_014</t>
  </si>
  <si>
    <t xml:space="preserve">HOUSEHOLD_2_016</t>
  </si>
  <si>
    <t xml:space="preserve">HOBBIES_2_017</t>
  </si>
  <si>
    <t xml:space="preserve">FOODS_2_018</t>
  </si>
  <si>
    <t xml:space="preserve">MONITOR</t>
  </si>
  <si>
    <t xml:space="preserve">HOUSEHOLD_1_019</t>
  </si>
  <si>
    <t xml:space="preserve">HOBBIES_2_021</t>
  </si>
  <si>
    <t xml:space="preserve">HOUSEHOLD_1_022</t>
  </si>
  <si>
    <t xml:space="preserve">HOBBIES_1_023</t>
  </si>
  <si>
    <t xml:space="preserve">FOODS_1_024</t>
  </si>
  <si>
    <t xml:space="preserve">FOODS_3_025</t>
  </si>
  <si>
    <t xml:space="preserve">FOODS_3_026</t>
  </si>
  <si>
    <t xml:space="preserve">HOBBIES_2_027</t>
  </si>
  <si>
    <t xml:space="preserve">HOUSEHOLD_2_028</t>
  </si>
  <si>
    <t xml:space="preserve">FOODS_2_029</t>
  </si>
  <si>
    <t xml:space="preserve">FOODS_3_030</t>
  </si>
  <si>
    <t xml:space="preserve">TOTAL ANNUAL CARRYING COST (30 SKUs)</t>
  </si>
  <si>
    <t xml:space="preserve">S&amp;OP DASHBOARD — Supply &amp; Operations Planning</t>
  </si>
  <si>
    <t xml:space="preserve">Monthly Review | Fill Rate | MAPE Trend | Write-Off Reduction Projection</t>
  </si>
  <si>
    <t xml:space="preserve">MONTHLY S&amp;OP PERFORMANCE SUMMARY</t>
  </si>
  <si>
    <t xml:space="preserve">Month</t>
  </si>
  <si>
    <t xml:space="preserve">Forecast MAPE</t>
  </si>
  <si>
    <t xml:space="preserve">Fill Rate %</t>
  </si>
  <si>
    <t xml:space="preserve">Stockout Events</t>
  </si>
  <si>
    <t xml:space="preserve">Overstock Events</t>
  </si>
  <si>
    <t xml:space="preserve">Write-Off ($K)</t>
  </si>
  <si>
    <t xml:space="preserve">vs Budget ($K)</t>
  </si>
  <si>
    <t xml:space="preserve">Jan-15</t>
  </si>
  <si>
    <t xml:space="preserve">REVIEW</t>
  </si>
  <si>
    <t xml:space="preserve">Feb-15</t>
  </si>
  <si>
    <t xml:space="preserve">Mar-15</t>
  </si>
  <si>
    <t xml:space="preserve">IMPROVING</t>
  </si>
  <si>
    <t xml:space="preserve">Apr-15</t>
  </si>
  <si>
    <t xml:space="preserve">May-15</t>
  </si>
  <si>
    <t xml:space="preserve">Jun-15</t>
  </si>
  <si>
    <t xml:space="preserve">ON TRACK</t>
  </si>
  <si>
    <t xml:space="preserve">Jul-15</t>
  </si>
  <si>
    <t xml:space="preserve">Aug-15</t>
  </si>
  <si>
    <t xml:space="preserve">Sep-15</t>
  </si>
  <si>
    <t xml:space="preserve">Oct-15</t>
  </si>
  <si>
    <t xml:space="preserve">Nov-15</t>
  </si>
  <si>
    <t xml:space="preserve">Dec-15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</si>
</sst>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$#,##0"/>
    <numFmt numFmtId="167" formatCode="0.0"/>
    <numFmt numFmtId="168" formatCode="0.000"/>
    <numFmt numFmtId="169" formatCode="#,##0"/>
    <numFmt numFmtId="170" formatCode="0.00"/>
    <numFmt numFmtId="171" formatCode="\$#,##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sz val="12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17A589"/>
      <name val="Arial"/>
      <family val="0"/>
      <charset val="1"/>
    </font>
    <font>
      <b val="true"/>
      <sz val="14"/>
      <color rgb="FF2E5FA3"/>
      <name val="Arial"/>
      <family val="0"/>
      <charset val="1"/>
    </font>
    <font>
      <b val="true"/>
      <sz val="14"/>
      <color rgb="FFF39C1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2E5FA3"/>
      <name val="Arial"/>
      <family val="0"/>
      <charset val="1"/>
    </font>
    <font>
      <sz val="10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C8F06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FA3"/>
        <bgColor rgb="FF3366FF"/>
      </patternFill>
    </fill>
    <fill>
      <patternFill patternType="solid">
        <fgColor rgb="FFD6E4F7"/>
        <bgColor rgb="FFE8DAEF"/>
      </patternFill>
    </fill>
    <fill>
      <patternFill patternType="solid">
        <fgColor rgb="FFF8F9FA"/>
        <bgColor rgb="FFF9F9F9"/>
      </patternFill>
    </fill>
    <fill>
      <patternFill patternType="solid">
        <fgColor rgb="FFFADBD8"/>
        <bgColor rgb="FFE8DAEF"/>
      </patternFill>
    </fill>
    <fill>
      <patternFill patternType="solid">
        <fgColor rgb="FFD5F5E3"/>
        <bgColor rgb="FFECF0F1"/>
      </patternFill>
    </fill>
    <fill>
      <patternFill patternType="solid">
        <fgColor rgb="FFFDEBD0"/>
        <bgColor rgb="FFFADBD8"/>
      </patternFill>
    </fill>
    <fill>
      <patternFill patternType="solid">
        <fgColor rgb="FFECF0F1"/>
        <bgColor rgb="FFF8F9FA"/>
      </patternFill>
    </fill>
    <fill>
      <patternFill patternType="solid">
        <fgColor rgb="FFFFFFFF"/>
        <bgColor rgb="FFF9F9F9"/>
      </patternFill>
    </fill>
    <fill>
      <patternFill patternType="solid">
        <fgColor rgb="FFE8DAEF"/>
        <bgColor rgb="FFD9D9D9"/>
      </patternFill>
    </fill>
    <fill>
      <patternFill patternType="solid">
        <fgColor rgb="FFC8F060"/>
        <bgColor rgb="FFD5F5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15" fillId="8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8F06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878787"/>
      <rgbColor rgb="FF9999FF"/>
      <rgbColor rgb="FF993366"/>
      <rgbColor rgb="FFFDEBD0"/>
      <rgbColor rgb="FFECF0F1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5F5E3"/>
      <rgbColor rgb="FFF9F9F9"/>
      <rgbColor rgb="FFF8F9FA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4F81BD"/>
      <rgbColor rgb="FF7F8C8D"/>
      <rgbColor rgb="FF003366"/>
      <rgbColor rgb="FF17A589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Demand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'Demand Analysis'!C29</c:f>
              <c:strCache>
                <c:ptCount val="1"/>
                <c:pt idx="0">
                  <c:v>FOODS Sales</c:v>
                </c:pt>
              </c:strCache>
            </c:strRef>
          </c:tx>
          <c:spPr>
            <a:solidFill>
              <a:srgbClr val="2e5fa3"/>
            </a:solidFill>
            <a:ln w="47520">
              <a:solidFill>
                <a:srgbClr val="2e5fa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'Demand Analysis'!$C$30:$C$55</c:f>
              <c:numCache>
                <c:formatCode>#,##0</c:formatCode>
                <c:ptCount val="26"/>
                <c:pt idx="0">
                  <c:v>47996</c:v>
                </c:pt>
                <c:pt idx="1">
                  <c:v>45015</c:v>
                </c:pt>
                <c:pt idx="2">
                  <c:v>45666</c:v>
                </c:pt>
                <c:pt idx="3">
                  <c:v>44710</c:v>
                </c:pt>
                <c:pt idx="4">
                  <c:v>42967</c:v>
                </c:pt>
                <c:pt idx="5">
                  <c:v>46174</c:v>
                </c:pt>
                <c:pt idx="6">
                  <c:v>48547</c:v>
                </c:pt>
                <c:pt idx="7">
                  <c:v>41319</c:v>
                </c:pt>
                <c:pt idx="8">
                  <c:v>47805</c:v>
                </c:pt>
                <c:pt idx="9">
                  <c:v>48457</c:v>
                </c:pt>
                <c:pt idx="10">
                  <c:v>44744</c:v>
                </c:pt>
                <c:pt idx="11">
                  <c:v>44309</c:v>
                </c:pt>
                <c:pt idx="12">
                  <c:v>46315</c:v>
                </c:pt>
                <c:pt idx="13">
                  <c:v>43803</c:v>
                </c:pt>
                <c:pt idx="14">
                  <c:v>43370</c:v>
                </c:pt>
                <c:pt idx="15">
                  <c:v>45040</c:v>
                </c:pt>
                <c:pt idx="16">
                  <c:v>46825</c:v>
                </c:pt>
                <c:pt idx="17">
                  <c:v>46238</c:v>
                </c:pt>
                <c:pt idx="18">
                  <c:v>47518</c:v>
                </c:pt>
                <c:pt idx="19">
                  <c:v>47721</c:v>
                </c:pt>
                <c:pt idx="20">
                  <c:v>45169</c:v>
                </c:pt>
                <c:pt idx="21">
                  <c:v>44156</c:v>
                </c:pt>
                <c:pt idx="22">
                  <c:v>48115</c:v>
                </c:pt>
                <c:pt idx="23">
                  <c:v>45521</c:v>
                </c:pt>
                <c:pt idx="24">
                  <c:v>45345</c:v>
                </c:pt>
                <c:pt idx="25">
                  <c:v>51417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'Demand Analysis'!D29</c:f>
              <c:strCache>
                <c:ptCount val="1"/>
                <c:pt idx="0">
                  <c:v>HOBBIES Sales</c:v>
                </c:pt>
              </c:strCache>
            </c:strRef>
          </c:tx>
          <c:spPr>
            <a:solidFill>
              <a:srgbClr val="17a589"/>
            </a:solidFill>
            <a:ln w="47520">
              <a:solidFill>
                <a:srgbClr val="17a58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'Demand Analysis'!$D$30:$D$55</c:f>
              <c:numCache>
                <c:formatCode>#,##0</c:formatCode>
                <c:ptCount val="26"/>
                <c:pt idx="0">
                  <c:v>12686</c:v>
                </c:pt>
                <c:pt idx="1">
                  <c:v>12601</c:v>
                </c:pt>
                <c:pt idx="2">
                  <c:v>12113</c:v>
                </c:pt>
                <c:pt idx="3">
                  <c:v>12429</c:v>
                </c:pt>
                <c:pt idx="4">
                  <c:v>13005</c:v>
                </c:pt>
                <c:pt idx="5">
                  <c:v>10931</c:v>
                </c:pt>
                <c:pt idx="6">
                  <c:v>10991</c:v>
                </c:pt>
                <c:pt idx="7">
                  <c:v>12287</c:v>
                </c:pt>
                <c:pt idx="8">
                  <c:v>13642</c:v>
                </c:pt>
                <c:pt idx="9">
                  <c:v>11781</c:v>
                </c:pt>
                <c:pt idx="10">
                  <c:v>11518</c:v>
                </c:pt>
                <c:pt idx="11">
                  <c:v>13306</c:v>
                </c:pt>
                <c:pt idx="12">
                  <c:v>11731</c:v>
                </c:pt>
                <c:pt idx="13">
                  <c:v>12693</c:v>
                </c:pt>
                <c:pt idx="14">
                  <c:v>11594</c:v>
                </c:pt>
                <c:pt idx="15">
                  <c:v>11743</c:v>
                </c:pt>
                <c:pt idx="16">
                  <c:v>11932</c:v>
                </c:pt>
                <c:pt idx="17">
                  <c:v>11560</c:v>
                </c:pt>
                <c:pt idx="18">
                  <c:v>12278</c:v>
                </c:pt>
                <c:pt idx="19">
                  <c:v>11979</c:v>
                </c:pt>
                <c:pt idx="20">
                  <c:v>11610</c:v>
                </c:pt>
                <c:pt idx="21">
                  <c:v>12019</c:v>
                </c:pt>
                <c:pt idx="22">
                  <c:v>10739</c:v>
                </c:pt>
                <c:pt idx="23">
                  <c:v>12412</c:v>
                </c:pt>
                <c:pt idx="24">
                  <c:v>13060</c:v>
                </c:pt>
                <c:pt idx="25">
                  <c:v>10667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'Demand Analysis'!E29</c:f>
              <c:strCache>
                <c:ptCount val="1"/>
                <c:pt idx="0">
                  <c:v>HOUSEHOLD Sales</c:v>
                </c:pt>
              </c:strCache>
            </c:strRef>
          </c:tx>
          <c:spPr>
            <a:solidFill>
              <a:srgbClr val="f39c12"/>
            </a:solidFill>
            <a:ln w="47520">
              <a:solidFill>
                <a:srgbClr val="f39c1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'Demand Analysis'!$E$30:$E$55</c:f>
              <c:numCache>
                <c:formatCode>#,##0</c:formatCode>
                <c:ptCount val="26"/>
                <c:pt idx="0">
                  <c:v>16887</c:v>
                </c:pt>
                <c:pt idx="1">
                  <c:v>17491</c:v>
                </c:pt>
                <c:pt idx="2">
                  <c:v>18023</c:v>
                </c:pt>
                <c:pt idx="3">
                  <c:v>18897</c:v>
                </c:pt>
                <c:pt idx="4">
                  <c:v>18206</c:v>
                </c:pt>
                <c:pt idx="5">
                  <c:v>18149</c:v>
                </c:pt>
                <c:pt idx="6">
                  <c:v>16638</c:v>
                </c:pt>
                <c:pt idx="7">
                  <c:v>19789</c:v>
                </c:pt>
                <c:pt idx="8">
                  <c:v>18154</c:v>
                </c:pt>
                <c:pt idx="9">
                  <c:v>18534</c:v>
                </c:pt>
                <c:pt idx="10">
                  <c:v>18199</c:v>
                </c:pt>
                <c:pt idx="11">
                  <c:v>18254</c:v>
                </c:pt>
                <c:pt idx="12">
                  <c:v>19029</c:v>
                </c:pt>
                <c:pt idx="13">
                  <c:v>17882</c:v>
                </c:pt>
                <c:pt idx="14">
                  <c:v>17566</c:v>
                </c:pt>
                <c:pt idx="15">
                  <c:v>18380</c:v>
                </c:pt>
                <c:pt idx="16">
                  <c:v>18147</c:v>
                </c:pt>
                <c:pt idx="17">
                  <c:v>18686</c:v>
                </c:pt>
                <c:pt idx="18">
                  <c:v>19911</c:v>
                </c:pt>
                <c:pt idx="19">
                  <c:v>17936</c:v>
                </c:pt>
                <c:pt idx="20">
                  <c:v>19020</c:v>
                </c:pt>
                <c:pt idx="21">
                  <c:v>17836</c:v>
                </c:pt>
                <c:pt idx="22">
                  <c:v>17967</c:v>
                </c:pt>
                <c:pt idx="23">
                  <c:v>18570</c:v>
                </c:pt>
                <c:pt idx="24">
                  <c:v>18475</c:v>
                </c:pt>
                <c:pt idx="25">
                  <c:v>18706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305899"/>
        <c:axId val="14424578"/>
      </c:lineChart>
      <c:catAx>
        <c:axId val="51305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24578"/>
        <c:crosses val="autoZero"/>
        <c:auto val="1"/>
        <c:lblAlgn val="ctr"/>
        <c:lblOffset val="100"/>
        <c:noMultiLvlLbl val="0"/>
      </c:catAx>
      <c:valAx>
        <c:axId val="144245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305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MAPE by Model &amp;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'Forecast Model'!E5</c:f>
              <c:strCache>
                <c:ptCount val="1"/>
                <c:pt idx="0">
                  <c:v>Test MAPE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'Forecast Model'!$A$6:$A$13</c:f>
              <c:strCache>
                <c:ptCount val="8"/>
                <c:pt idx="0">
                  <c:v>Baseline</c:v>
                </c:pt>
                <c:pt idx="1">
                  <c:v>ARIMA</c:v>
                </c:pt>
                <c:pt idx="2">
                  <c:v>ARIMA</c:v>
                </c:pt>
                <c:pt idx="3">
                  <c:v>ARIMA</c:v>
                </c:pt>
                <c:pt idx="4">
                  <c:v>Prophet</c:v>
                </c:pt>
                <c:pt idx="5">
                  <c:v>Prophet</c:v>
                </c:pt>
                <c:pt idx="6">
                  <c:v>Prophet</c:v>
                </c:pt>
                <c:pt idx="7">
                  <c:v>Ensemble</c:v>
                </c:pt>
              </c:strCache>
            </c:strRef>
          </c:cat>
          <c:val>
            <c:numRef>
              <c:f>'Forecast Model'!$E$6:$E$13</c:f>
              <c:numCache>
                <c:formatCode>0.0%</c:formatCode>
                <c:ptCount val="8"/>
                <c:pt idx="0">
                  <c:v>0.18</c:v>
                </c:pt>
                <c:pt idx="1">
                  <c:v>0.123</c:v>
                </c:pt>
                <c:pt idx="2">
                  <c:v>0.161</c:v>
                </c:pt>
                <c:pt idx="3">
                  <c:v>0.138</c:v>
                </c:pt>
                <c:pt idx="4">
                  <c:v>0.087</c:v>
                </c:pt>
                <c:pt idx="5">
                  <c:v>0.114</c:v>
                </c:pt>
                <c:pt idx="6">
                  <c:v>0.102</c:v>
                </c:pt>
                <c:pt idx="7">
                  <c:v>0.094</c:v>
                </c:pt>
              </c:numCache>
            </c:numRef>
          </c:val>
        </c:ser>
        <c:gapWidth val="150"/>
        <c:overlap val="0"/>
        <c:axId val="87865912"/>
        <c:axId val="81268825"/>
      </c:barChart>
      <c:catAx>
        <c:axId val="87865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68825"/>
        <c:crosses val="autoZero"/>
        <c:auto val="1"/>
        <c:lblAlgn val="ctr"/>
        <c:lblOffset val="100"/>
        <c:noMultiLvlLbl val="0"/>
      </c:catAx>
      <c:valAx>
        <c:axId val="81268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MAPE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659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MAPE Trend (Jan–Dec 2015)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'SOP Dashboard'!B5</c:f>
              <c:strCache>
                <c:ptCount val="1"/>
                <c:pt idx="0">
                  <c:v>Forecast MAPE</c:v>
                </c:pt>
              </c:strCache>
            </c:strRef>
          </c:tx>
          <c:spPr>
            <a:solidFill>
              <a:srgbClr val="2e5fa3"/>
            </a:solidFill>
            <a:ln w="24840">
              <a:solidFill>
                <a:srgbClr val="2e5fa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'SOP Dashboard'!$A$6:$A$17</c:f>
              <c:strCache>
                <c:ptCount val="12"/>
                <c:pt idx="0">
                  <c:v>Jan-15</c:v>
                </c:pt>
                <c:pt idx="1">
                  <c:v>Feb-15</c:v>
                </c:pt>
                <c:pt idx="2">
                  <c:v>Mar-15</c:v>
                </c:pt>
                <c:pt idx="3">
                  <c:v>Apr-15</c:v>
                </c:pt>
                <c:pt idx="4">
                  <c:v>May-15</c:v>
                </c:pt>
                <c:pt idx="5">
                  <c:v>Jun-15</c:v>
                </c:pt>
                <c:pt idx="6">
                  <c:v>Jul-15</c:v>
                </c:pt>
                <c:pt idx="7">
                  <c:v>Aug-15</c:v>
                </c:pt>
                <c:pt idx="8">
                  <c:v>Sep-15</c:v>
                </c:pt>
                <c:pt idx="9">
                  <c:v>Oct-15</c:v>
                </c:pt>
                <c:pt idx="10">
                  <c:v>Nov-15</c:v>
                </c:pt>
                <c:pt idx="11">
                  <c:v>Dec-15</c:v>
                </c:pt>
              </c:strCache>
            </c:strRef>
          </c:cat>
          <c:val>
            <c:numRef>
              <c:f>'SOP Dashboard'!$B$6:$B$17</c:f>
              <c:numCache>
                <c:formatCode>0.0%</c:formatCode>
                <c:ptCount val="12"/>
                <c:pt idx="0">
                  <c:v>0.181</c:v>
                </c:pt>
                <c:pt idx="1">
                  <c:v>0.174</c:v>
                </c:pt>
                <c:pt idx="2">
                  <c:v>0.168</c:v>
                </c:pt>
                <c:pt idx="3">
                  <c:v>0.152</c:v>
                </c:pt>
                <c:pt idx="4">
                  <c:v>0.141</c:v>
                </c:pt>
                <c:pt idx="5">
                  <c:v>0.133</c:v>
                </c:pt>
                <c:pt idx="6">
                  <c:v>0.128</c:v>
                </c:pt>
                <c:pt idx="7">
                  <c:v>0.121</c:v>
                </c:pt>
                <c:pt idx="8">
                  <c:v>0.114</c:v>
                </c:pt>
                <c:pt idx="9">
                  <c:v>0.108</c:v>
                </c:pt>
                <c:pt idx="10">
                  <c:v>0.101</c:v>
                </c:pt>
                <c:pt idx="11">
                  <c:v>0.094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243983"/>
        <c:axId val="92601663"/>
      </c:lineChart>
      <c:catAx>
        <c:axId val="792439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01663"/>
        <c:crosses val="autoZero"/>
        <c:auto val="1"/>
        <c:lblAlgn val="ctr"/>
        <c:lblOffset val="100"/>
        <c:noMultiLvlLbl val="0"/>
      </c:catAx>
      <c:valAx>
        <c:axId val="92601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MAPE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439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28</xdr:row>
      <xdr:rowOff>0</xdr:rowOff>
    </xdr:from>
    <xdr:to>
      <xdr:col>16</xdr:col>
      <xdr:colOff>350640</xdr:colOff>
      <xdr:row>54</xdr:row>
      <xdr:rowOff>360</xdr:rowOff>
    </xdr:to>
    <xdr:graphicFrame>
      <xdr:nvGraphicFramePr>
        <xdr:cNvPr id="0" name="Chart 1"/>
        <xdr:cNvGraphicFramePr/>
      </xdr:nvGraphicFramePr>
      <xdr:xfrm>
        <a:off x="7189560" y="580068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45</xdr:row>
      <xdr:rowOff>0</xdr:rowOff>
    </xdr:from>
    <xdr:to>
      <xdr:col>7</xdr:col>
      <xdr:colOff>24840</xdr:colOff>
      <xdr:row>71</xdr:row>
      <xdr:rowOff>86400</xdr:rowOff>
    </xdr:to>
    <xdr:graphicFrame>
      <xdr:nvGraphicFramePr>
        <xdr:cNvPr id="1" name="Chart 1"/>
        <xdr:cNvGraphicFramePr/>
      </xdr:nvGraphicFramePr>
      <xdr:xfrm>
        <a:off x="0" y="958212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7</xdr:col>
      <xdr:colOff>24840</xdr:colOff>
      <xdr:row>45</xdr:row>
      <xdr:rowOff>86400</xdr:rowOff>
    </xdr:to>
    <xdr:graphicFrame>
      <xdr:nvGraphicFramePr>
        <xdr:cNvPr id="2" name="Chart 1"/>
        <xdr:cNvGraphicFramePr/>
      </xdr:nvGraphicFramePr>
      <xdr:xfrm>
        <a:off x="0" y="402912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9.5" hidden="false" customHeight="true" outlineLevel="0" collapsed="false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9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9.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9.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9.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9.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9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9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9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9.5" hidden="false" customHeight="true" outlineLevel="0" collapsed="false">
      <c r="A13" s="4" t="s">
        <v>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9.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9.5" hidden="false" customHeight="true" outlineLevel="0" collapsed="false"/>
    <row r="16" customFormat="false" ht="24" hidden="false" customHeight="true" outlineLevel="0" collapsed="false">
      <c r="A16" s="5" t="s">
        <v>2</v>
      </c>
      <c r="B16" s="5"/>
      <c r="C16" s="6" t="s">
        <v>3</v>
      </c>
      <c r="D16" s="6"/>
      <c r="E16" s="6"/>
      <c r="F16" s="6"/>
      <c r="G16" s="6"/>
      <c r="H16" s="6"/>
      <c r="I16" s="6"/>
      <c r="J16" s="6"/>
      <c r="K16" s="6"/>
    </row>
    <row r="17" customFormat="false" ht="19.5" hidden="false" customHeight="true" outlineLevel="0" collapsed="false"/>
    <row r="18" customFormat="false" ht="24" hidden="false" customHeight="true" outlineLevel="0" collapsed="false">
      <c r="A18" s="5" t="s">
        <v>4</v>
      </c>
      <c r="B18" s="5"/>
      <c r="C18" s="6" t="s">
        <v>5</v>
      </c>
      <c r="D18" s="6"/>
      <c r="E18" s="6"/>
      <c r="F18" s="6"/>
      <c r="G18" s="6"/>
      <c r="H18" s="6"/>
      <c r="I18" s="6"/>
      <c r="J18" s="6"/>
      <c r="K18" s="6"/>
    </row>
    <row r="19" customFormat="false" ht="19.5" hidden="false" customHeight="true" outlineLevel="0" collapsed="false"/>
    <row r="20" customFormat="false" ht="24" hidden="false" customHeight="true" outlineLevel="0" collapsed="false">
      <c r="A20" s="5" t="s">
        <v>6</v>
      </c>
      <c r="B20" s="5"/>
      <c r="C20" s="6" t="s">
        <v>7</v>
      </c>
      <c r="D20" s="6"/>
      <c r="E20" s="6"/>
      <c r="F20" s="6"/>
      <c r="G20" s="6"/>
      <c r="H20" s="6"/>
      <c r="I20" s="6"/>
      <c r="J20" s="6"/>
      <c r="K20" s="6"/>
    </row>
    <row r="21" customFormat="false" ht="19.5" hidden="false" customHeight="true" outlineLevel="0" collapsed="false"/>
    <row r="22" customFormat="false" ht="24" hidden="false" customHeight="true" outlineLevel="0" collapsed="false">
      <c r="A22" s="5" t="s">
        <v>8</v>
      </c>
      <c r="B22" s="5"/>
      <c r="C22" s="6" t="s">
        <v>9</v>
      </c>
      <c r="D22" s="6"/>
      <c r="E22" s="6"/>
      <c r="F22" s="6"/>
      <c r="G22" s="6"/>
      <c r="H22" s="6"/>
      <c r="I22" s="6"/>
      <c r="J22" s="6"/>
      <c r="K22" s="6"/>
    </row>
    <row r="23" customFormat="false" ht="19.5" hidden="false" customHeight="true" outlineLevel="0" collapsed="false"/>
    <row r="24" customFormat="false" ht="24" hidden="false" customHeight="true" outlineLevel="0" collapsed="false">
      <c r="A24" s="5" t="s">
        <v>10</v>
      </c>
      <c r="B24" s="5"/>
      <c r="C24" s="6" t="s">
        <v>11</v>
      </c>
      <c r="D24" s="6"/>
      <c r="E24" s="6"/>
      <c r="F24" s="6"/>
      <c r="G24" s="6"/>
      <c r="H24" s="6"/>
      <c r="I24" s="6"/>
      <c r="J24" s="6"/>
      <c r="K24" s="6"/>
    </row>
    <row r="25" customFormat="false" ht="19.5" hidden="false" customHeight="true" outlineLevel="0" collapsed="false"/>
    <row r="26" customFormat="false" ht="24" hidden="false" customHeight="true" outlineLevel="0" collapsed="false">
      <c r="A26" s="5" t="s">
        <v>12</v>
      </c>
      <c r="B26" s="5"/>
      <c r="C26" s="6" t="s">
        <v>13</v>
      </c>
      <c r="D26" s="6"/>
      <c r="E26" s="6"/>
      <c r="F26" s="6"/>
      <c r="G26" s="6"/>
      <c r="H26" s="6"/>
      <c r="I26" s="6"/>
      <c r="J26" s="6"/>
      <c r="K26" s="6"/>
    </row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</sheetData>
  <mergeCells count="15">
    <mergeCell ref="A1:K3"/>
    <mergeCell ref="A4:K12"/>
    <mergeCell ref="A13:K14"/>
    <mergeCell ref="A16:B16"/>
    <mergeCell ref="C16:K16"/>
    <mergeCell ref="A18:B18"/>
    <mergeCell ref="C18:K18"/>
    <mergeCell ref="A20:B20"/>
    <mergeCell ref="C20:K20"/>
    <mergeCell ref="A22:B22"/>
    <mergeCell ref="C22:K22"/>
    <mergeCell ref="A24:B24"/>
    <mergeCell ref="C24:K24"/>
    <mergeCell ref="A26:B26"/>
    <mergeCell ref="C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80"/>
    <col collapsed="false" customWidth="true" hidden="false" outlineLevel="0" max="10" min="4" style="1" width="16"/>
  </cols>
  <sheetData>
    <row r="1" customFormat="false" ht="31.5" hidden="false" customHeight="true" outlineLevel="0" collapsed="false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9.5" hidden="false" customHeight="true" outlineLevel="0" collapsed="false">
      <c r="A4" s="9" t="s">
        <v>16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18" hidden="false" customHeight="true" outlineLevel="0" collapsed="false">
      <c r="A5" s="10" t="s">
        <v>17</v>
      </c>
      <c r="B5" s="11" t="s">
        <v>18</v>
      </c>
      <c r="C5" s="12" t="s">
        <v>19</v>
      </c>
      <c r="D5" s="11" t="s">
        <v>20</v>
      </c>
      <c r="E5" s="13" t="s">
        <v>21</v>
      </c>
    </row>
    <row r="6" customFormat="false" ht="25.5" hidden="false" customHeight="true" outlineLevel="0" collapsed="false">
      <c r="A6" s="14" t="n">
        <v>0.18</v>
      </c>
      <c r="B6" s="15" t="n">
        <v>0.094</v>
      </c>
      <c r="C6" s="16" t="n">
        <v>0.478</v>
      </c>
      <c r="D6" s="15" t="n">
        <v>0.31</v>
      </c>
      <c r="E6" s="17" t="n">
        <v>180000</v>
      </c>
    </row>
    <row r="8" customFormat="false" ht="19.5" hidden="false" customHeight="true" outlineLevel="0" collapsed="false">
      <c r="A8" s="9" t="s">
        <v>22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54" hidden="false" customHeight="true" outlineLevel="0" collapsed="false">
      <c r="A9" s="18" t="s">
        <v>23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9.75" hidden="false" customHeight="tru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customFormat="false" ht="9.7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3" customFormat="false" ht="19.5" hidden="false" customHeight="true" outlineLevel="0" collapsed="false">
      <c r="A13" s="9" t="s">
        <v>24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21.75" hidden="false" customHeight="true" outlineLevel="0" collapsed="false">
      <c r="A14" s="19" t="s">
        <v>25</v>
      </c>
      <c r="B14" s="19" t="s">
        <v>26</v>
      </c>
      <c r="C14" s="19" t="s">
        <v>27</v>
      </c>
    </row>
    <row r="15" customFormat="false" ht="30" hidden="false" customHeight="true" outlineLevel="0" collapsed="false">
      <c r="A15" s="20" t="s">
        <v>28</v>
      </c>
      <c r="B15" s="21" t="s">
        <v>29</v>
      </c>
      <c r="C15" s="22" t="s">
        <v>30</v>
      </c>
    </row>
    <row r="16" customFormat="false" ht="30" hidden="false" customHeight="true" outlineLevel="0" collapsed="false">
      <c r="A16" s="23" t="s">
        <v>31</v>
      </c>
      <c r="B16" s="24" t="s">
        <v>32</v>
      </c>
      <c r="C16" s="25" t="s">
        <v>33</v>
      </c>
    </row>
    <row r="17" customFormat="false" ht="30" hidden="false" customHeight="true" outlineLevel="0" collapsed="false">
      <c r="A17" s="20" t="s">
        <v>34</v>
      </c>
      <c r="B17" s="21" t="s">
        <v>35</v>
      </c>
      <c r="C17" s="22" t="s">
        <v>36</v>
      </c>
    </row>
    <row r="18" customFormat="false" ht="30" hidden="false" customHeight="true" outlineLevel="0" collapsed="false">
      <c r="A18" s="23" t="s">
        <v>37</v>
      </c>
      <c r="B18" s="24" t="s">
        <v>38</v>
      </c>
      <c r="C18" s="25" t="s">
        <v>39</v>
      </c>
    </row>
    <row r="20" customFormat="false" ht="19.5" hidden="false" customHeight="true" outlineLevel="0" collapsed="false">
      <c r="A20" s="9" t="s">
        <v>40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9.5" hidden="false" customHeight="true" outlineLevel="0" collapsed="false">
      <c r="A21" s="26" t="s">
        <v>41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9.5" hidden="false" customHeight="true" outlineLevel="0" collapsed="false">
      <c r="A22" s="27" t="s">
        <v>42</v>
      </c>
      <c r="B22" s="27"/>
      <c r="C22" s="27"/>
      <c r="D22" s="27"/>
      <c r="E22" s="27"/>
      <c r="F22" s="27"/>
      <c r="G22" s="27"/>
      <c r="H22" s="27"/>
      <c r="I22" s="27"/>
      <c r="J22" s="27"/>
    </row>
    <row r="23" customFormat="false" ht="19.5" hidden="false" customHeight="true" outlineLevel="0" collapsed="false">
      <c r="A23" s="26" t="s">
        <v>43</v>
      </c>
      <c r="B23" s="26"/>
      <c r="C23" s="26"/>
      <c r="D23" s="26"/>
      <c r="E23" s="26"/>
      <c r="F23" s="26"/>
      <c r="G23" s="26"/>
      <c r="H23" s="26"/>
      <c r="I23" s="26"/>
      <c r="J23" s="26"/>
    </row>
    <row r="24" customFormat="false" ht="19.5" hidden="false" customHeight="true" outlineLevel="0" collapsed="false">
      <c r="A24" s="27" t="s">
        <v>44</v>
      </c>
      <c r="B24" s="27"/>
      <c r="C24" s="27"/>
      <c r="D24" s="27"/>
      <c r="E24" s="27"/>
      <c r="F24" s="27"/>
      <c r="G24" s="27"/>
      <c r="H24" s="27"/>
      <c r="I24" s="27"/>
      <c r="J24" s="27"/>
    </row>
    <row r="25" customFormat="false" ht="19.5" hidden="false" customHeight="true" outlineLevel="0" collapsed="false">
      <c r="A25" s="26" t="s">
        <v>45</v>
      </c>
      <c r="B25" s="26"/>
      <c r="C25" s="26"/>
      <c r="D25" s="26"/>
      <c r="E25" s="26"/>
      <c r="F25" s="26"/>
      <c r="G25" s="26"/>
      <c r="H25" s="26"/>
      <c r="I25" s="26"/>
      <c r="J25" s="26"/>
    </row>
  </sheetData>
  <mergeCells count="12">
    <mergeCell ref="A1:J1"/>
    <mergeCell ref="A2:J2"/>
    <mergeCell ref="A4:J4"/>
    <mergeCell ref="A8:J8"/>
    <mergeCell ref="A9:J11"/>
    <mergeCell ref="A13:J13"/>
    <mergeCell ref="A20:J20"/>
    <mergeCell ref="A21:J21"/>
    <mergeCell ref="A22:J22"/>
    <mergeCell ref="A23:J23"/>
    <mergeCell ref="A24:J24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0"/>
    <col collapsed="false" customWidth="true" hidden="false" outlineLevel="0" max="35" min="6" style="1" width="6"/>
  </cols>
  <sheetData>
    <row r="1" customFormat="false" ht="31.5" hidden="false" customHeight="true" outlineLevel="0" collapsed="false">
      <c r="A1" s="7" t="s">
        <v>46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47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7.5" hidden="false" customHeight="true" outlineLevel="0" collapsed="false"/>
    <row r="4" customFormat="false" ht="21.75" hidden="false" customHeight="true" outlineLevel="0" collapsed="false">
      <c r="A4" s="28" t="s">
        <v>48</v>
      </c>
      <c r="B4" s="28" t="s">
        <v>49</v>
      </c>
      <c r="C4" s="28" t="s">
        <v>50</v>
      </c>
      <c r="D4" s="28" t="s">
        <v>51</v>
      </c>
      <c r="E4" s="28" t="s">
        <v>52</v>
      </c>
      <c r="F4" s="28" t="s">
        <v>53</v>
      </c>
      <c r="G4" s="28" t="s">
        <v>54</v>
      </c>
      <c r="H4" s="28" t="s">
        <v>55</v>
      </c>
      <c r="I4" s="28" t="s">
        <v>56</v>
      </c>
      <c r="J4" s="28" t="s">
        <v>57</v>
      </c>
      <c r="K4" s="28" t="s">
        <v>58</v>
      </c>
      <c r="L4" s="28" t="s">
        <v>59</v>
      </c>
      <c r="M4" s="28" t="s">
        <v>60</v>
      </c>
      <c r="N4" s="28" t="s">
        <v>61</v>
      </c>
      <c r="O4" s="28" t="s">
        <v>62</v>
      </c>
      <c r="P4" s="28" t="s">
        <v>63</v>
      </c>
      <c r="Q4" s="28" t="s">
        <v>64</v>
      </c>
      <c r="R4" s="28" t="s">
        <v>65</v>
      </c>
      <c r="S4" s="28" t="s">
        <v>66</v>
      </c>
      <c r="T4" s="28" t="s">
        <v>67</v>
      </c>
      <c r="U4" s="28" t="s">
        <v>68</v>
      </c>
      <c r="V4" s="28" t="s">
        <v>69</v>
      </c>
      <c r="W4" s="28" t="s">
        <v>70</v>
      </c>
      <c r="X4" s="28" t="s">
        <v>71</v>
      </c>
      <c r="Y4" s="28" t="s">
        <v>72</v>
      </c>
      <c r="Z4" s="28" t="s">
        <v>73</v>
      </c>
      <c r="AA4" s="28" t="s">
        <v>74</v>
      </c>
      <c r="AB4" s="28" t="s">
        <v>75</v>
      </c>
      <c r="AC4" s="28" t="s">
        <v>76</v>
      </c>
      <c r="AD4" s="28" t="s">
        <v>77</v>
      </c>
      <c r="AE4" s="28" t="s">
        <v>78</v>
      </c>
      <c r="AF4" s="28" t="s">
        <v>79</v>
      </c>
      <c r="AG4" s="28" t="s">
        <v>80</v>
      </c>
      <c r="AH4" s="28" t="s">
        <v>81</v>
      </c>
      <c r="AI4" s="28" t="s">
        <v>82</v>
      </c>
    </row>
    <row r="5" customFormat="false" ht="15" hidden="false" customHeight="true" outlineLevel="0" collapsed="false">
      <c r="A5" s="29" t="s">
        <v>83</v>
      </c>
      <c r="B5" s="30" t="s">
        <v>84</v>
      </c>
      <c r="C5" s="31" t="s">
        <v>85</v>
      </c>
      <c r="D5" s="30" t="s">
        <v>86</v>
      </c>
      <c r="E5" s="30" t="s">
        <v>87</v>
      </c>
      <c r="F5" s="30" t="n">
        <v>3</v>
      </c>
      <c r="G5" s="30" t="n">
        <v>2</v>
      </c>
      <c r="H5" s="30" t="n">
        <v>4</v>
      </c>
      <c r="I5" s="30" t="n">
        <v>6</v>
      </c>
      <c r="J5" s="30" t="n">
        <v>2</v>
      </c>
      <c r="K5" s="30" t="n">
        <v>2</v>
      </c>
      <c r="L5" s="30" t="n">
        <v>6</v>
      </c>
      <c r="M5" s="30" t="n">
        <v>4</v>
      </c>
      <c r="N5" s="30" t="n">
        <v>2</v>
      </c>
      <c r="O5" s="30" t="n">
        <v>4</v>
      </c>
      <c r="P5" s="30" t="n">
        <v>2</v>
      </c>
      <c r="Q5" s="30" t="n">
        <v>2</v>
      </c>
      <c r="R5" s="30" t="n">
        <v>3</v>
      </c>
      <c r="S5" s="30" t="n">
        <v>0</v>
      </c>
      <c r="T5" s="30" t="n">
        <v>0</v>
      </c>
      <c r="U5" s="30" t="n">
        <v>1</v>
      </c>
      <c r="V5" s="30" t="n">
        <v>0</v>
      </c>
      <c r="W5" s="30" t="n">
        <v>3</v>
      </c>
      <c r="X5" s="30" t="n">
        <v>1</v>
      </c>
      <c r="Y5" s="30" t="n">
        <v>0</v>
      </c>
      <c r="Z5" s="30" t="n">
        <v>5</v>
      </c>
      <c r="AA5" s="30" t="n">
        <v>2</v>
      </c>
      <c r="AB5" s="30" t="n">
        <v>3</v>
      </c>
      <c r="AC5" s="30" t="n">
        <v>0</v>
      </c>
      <c r="AD5" s="30" t="n">
        <v>1</v>
      </c>
      <c r="AE5" s="30" t="n">
        <v>3</v>
      </c>
      <c r="AF5" s="30" t="n">
        <v>0</v>
      </c>
      <c r="AG5" s="30" t="n">
        <v>3</v>
      </c>
      <c r="AH5" s="30" t="n">
        <v>1</v>
      </c>
      <c r="AI5" s="30" t="n">
        <v>2</v>
      </c>
    </row>
    <row r="6" customFormat="false" ht="15" hidden="false" customHeight="true" outlineLevel="0" collapsed="false">
      <c r="A6" s="32" t="s">
        <v>88</v>
      </c>
      <c r="B6" s="33" t="s">
        <v>89</v>
      </c>
      <c r="C6" s="34" t="s">
        <v>90</v>
      </c>
      <c r="D6" s="33" t="s">
        <v>91</v>
      </c>
      <c r="E6" s="33" t="s">
        <v>92</v>
      </c>
      <c r="F6" s="33" t="n">
        <v>8</v>
      </c>
      <c r="G6" s="33" t="n">
        <v>13</v>
      </c>
      <c r="H6" s="33" t="n">
        <v>9</v>
      </c>
      <c r="I6" s="33" t="n">
        <v>7</v>
      </c>
      <c r="J6" s="33" t="n">
        <v>11</v>
      </c>
      <c r="K6" s="33" t="n">
        <v>7</v>
      </c>
      <c r="L6" s="33" t="n">
        <v>10</v>
      </c>
      <c r="M6" s="33" t="n">
        <v>6</v>
      </c>
      <c r="N6" s="33" t="n">
        <v>7</v>
      </c>
      <c r="O6" s="33" t="n">
        <v>10</v>
      </c>
      <c r="P6" s="33" t="n">
        <v>11</v>
      </c>
      <c r="Q6" s="33" t="n">
        <v>10</v>
      </c>
      <c r="R6" s="33" t="n">
        <v>9</v>
      </c>
      <c r="S6" s="33" t="n">
        <v>9</v>
      </c>
      <c r="T6" s="33" t="n">
        <v>7</v>
      </c>
      <c r="U6" s="33" t="n">
        <v>8</v>
      </c>
      <c r="V6" s="33" t="n">
        <v>9</v>
      </c>
      <c r="W6" s="33" t="n">
        <v>12</v>
      </c>
      <c r="X6" s="33" t="n">
        <v>10</v>
      </c>
      <c r="Y6" s="33" t="n">
        <v>6</v>
      </c>
      <c r="Z6" s="33" t="n">
        <v>10</v>
      </c>
      <c r="AA6" s="33" t="n">
        <v>9</v>
      </c>
      <c r="AB6" s="33" t="n">
        <v>8</v>
      </c>
      <c r="AC6" s="33" t="n">
        <v>11</v>
      </c>
      <c r="AD6" s="33" t="n">
        <v>12</v>
      </c>
      <c r="AE6" s="33" t="n">
        <v>11</v>
      </c>
      <c r="AF6" s="33" t="n">
        <v>8</v>
      </c>
      <c r="AG6" s="33" t="n">
        <v>9</v>
      </c>
      <c r="AH6" s="33" t="n">
        <v>10</v>
      </c>
      <c r="AI6" s="33" t="n">
        <v>11</v>
      </c>
    </row>
    <row r="7" customFormat="false" ht="15" hidden="false" customHeight="true" outlineLevel="0" collapsed="false">
      <c r="A7" s="29" t="s">
        <v>93</v>
      </c>
      <c r="B7" s="30" t="s">
        <v>84</v>
      </c>
      <c r="C7" s="31" t="s">
        <v>85</v>
      </c>
      <c r="D7" s="30" t="s">
        <v>94</v>
      </c>
      <c r="E7" s="30" t="s">
        <v>92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1</v>
      </c>
      <c r="K7" s="30" t="n">
        <v>2</v>
      </c>
      <c r="L7" s="30" t="n">
        <v>0</v>
      </c>
      <c r="M7" s="30" t="n">
        <v>2</v>
      </c>
      <c r="N7" s="30" t="n">
        <v>0</v>
      </c>
      <c r="O7" s="30" t="n">
        <v>0</v>
      </c>
      <c r="P7" s="30" t="n">
        <v>0</v>
      </c>
      <c r="Q7" s="30" t="n">
        <v>3</v>
      </c>
      <c r="R7" s="30" t="n">
        <v>0</v>
      </c>
      <c r="S7" s="30" t="n">
        <v>3</v>
      </c>
      <c r="T7" s="30" t="n">
        <v>0</v>
      </c>
      <c r="U7" s="30" t="n">
        <v>1</v>
      </c>
      <c r="V7" s="30" t="n">
        <v>0</v>
      </c>
      <c r="W7" s="30" t="n">
        <v>0</v>
      </c>
      <c r="X7" s="30" t="n">
        <v>0</v>
      </c>
      <c r="Y7" s="30" t="n">
        <v>0</v>
      </c>
      <c r="Z7" s="30" t="n">
        <v>0</v>
      </c>
      <c r="AA7" s="30" t="n">
        <v>0</v>
      </c>
      <c r="AB7" s="30" t="n">
        <v>2</v>
      </c>
      <c r="AC7" s="30" t="n">
        <v>0</v>
      </c>
      <c r="AD7" s="30" t="n">
        <v>0</v>
      </c>
      <c r="AE7" s="30" t="n">
        <v>0</v>
      </c>
      <c r="AF7" s="30" t="n">
        <v>1</v>
      </c>
      <c r="AG7" s="30" t="n">
        <v>0</v>
      </c>
      <c r="AH7" s="30" t="n">
        <v>0</v>
      </c>
      <c r="AI7" s="30" t="n">
        <v>1</v>
      </c>
    </row>
    <row r="8" customFormat="false" ht="15" hidden="false" customHeight="true" outlineLevel="0" collapsed="false">
      <c r="A8" s="32" t="s">
        <v>95</v>
      </c>
      <c r="B8" s="33" t="s">
        <v>89</v>
      </c>
      <c r="C8" s="34" t="s">
        <v>90</v>
      </c>
      <c r="D8" s="33" t="s">
        <v>96</v>
      </c>
      <c r="E8" s="33" t="s">
        <v>87</v>
      </c>
      <c r="F8" s="33" t="n">
        <v>8</v>
      </c>
      <c r="G8" s="33" t="n">
        <v>9</v>
      </c>
      <c r="H8" s="33" t="n">
        <v>6</v>
      </c>
      <c r="I8" s="33" t="n">
        <v>7</v>
      </c>
      <c r="J8" s="33" t="n">
        <v>7</v>
      </c>
      <c r="K8" s="33" t="n">
        <v>5</v>
      </c>
      <c r="L8" s="33" t="n">
        <v>8</v>
      </c>
      <c r="M8" s="33" t="n">
        <v>8</v>
      </c>
      <c r="N8" s="33" t="n">
        <v>8</v>
      </c>
      <c r="O8" s="33" t="n">
        <v>7</v>
      </c>
      <c r="P8" s="33" t="n">
        <v>5</v>
      </c>
      <c r="Q8" s="33" t="n">
        <v>7</v>
      </c>
      <c r="R8" s="33" t="n">
        <v>7</v>
      </c>
      <c r="S8" s="33" t="n">
        <v>6</v>
      </c>
      <c r="T8" s="33" t="n">
        <v>7</v>
      </c>
      <c r="U8" s="33" t="n">
        <v>8</v>
      </c>
      <c r="V8" s="33" t="n">
        <v>11</v>
      </c>
      <c r="W8" s="33" t="n">
        <v>8</v>
      </c>
      <c r="X8" s="33" t="n">
        <v>8</v>
      </c>
      <c r="Y8" s="33" t="n">
        <v>7</v>
      </c>
      <c r="Z8" s="33" t="n">
        <v>4</v>
      </c>
      <c r="AA8" s="33" t="n">
        <v>7</v>
      </c>
      <c r="AB8" s="33" t="n">
        <v>8</v>
      </c>
      <c r="AC8" s="33" t="n">
        <v>12</v>
      </c>
      <c r="AD8" s="33" t="n">
        <v>7</v>
      </c>
      <c r="AE8" s="33" t="n">
        <v>8</v>
      </c>
      <c r="AF8" s="33" t="n">
        <v>7</v>
      </c>
      <c r="AG8" s="33" t="n">
        <v>5</v>
      </c>
      <c r="AH8" s="33" t="n">
        <v>10</v>
      </c>
      <c r="AI8" s="33" t="n">
        <v>9</v>
      </c>
    </row>
    <row r="9" customFormat="false" ht="15" hidden="false" customHeight="true" outlineLevel="0" collapsed="false">
      <c r="A9" s="29" t="s">
        <v>97</v>
      </c>
      <c r="B9" s="30" t="s">
        <v>84</v>
      </c>
      <c r="C9" s="31" t="s">
        <v>85</v>
      </c>
      <c r="D9" s="30" t="s">
        <v>91</v>
      </c>
      <c r="E9" s="30" t="s">
        <v>92</v>
      </c>
      <c r="F9" s="30" t="n">
        <v>12</v>
      </c>
      <c r="G9" s="30" t="n">
        <v>9</v>
      </c>
      <c r="H9" s="30" t="n">
        <v>13</v>
      </c>
      <c r="I9" s="30" t="n">
        <v>8</v>
      </c>
      <c r="J9" s="30" t="n">
        <v>12</v>
      </c>
      <c r="K9" s="30" t="n">
        <v>15</v>
      </c>
      <c r="L9" s="30" t="n">
        <v>9</v>
      </c>
      <c r="M9" s="30" t="n">
        <v>9</v>
      </c>
      <c r="N9" s="30" t="n">
        <v>11</v>
      </c>
      <c r="O9" s="30" t="n">
        <v>9</v>
      </c>
      <c r="P9" s="30" t="n">
        <v>7</v>
      </c>
      <c r="Q9" s="30" t="n">
        <v>11</v>
      </c>
      <c r="R9" s="30" t="n">
        <v>8</v>
      </c>
      <c r="S9" s="30" t="n">
        <v>11</v>
      </c>
      <c r="T9" s="30" t="n">
        <v>9</v>
      </c>
      <c r="U9" s="30" t="n">
        <v>14</v>
      </c>
      <c r="V9" s="30" t="n">
        <v>9</v>
      </c>
      <c r="W9" s="30" t="n">
        <v>10</v>
      </c>
      <c r="X9" s="30" t="n">
        <v>12</v>
      </c>
      <c r="Y9" s="30" t="n">
        <v>8</v>
      </c>
      <c r="Z9" s="30" t="n">
        <v>11</v>
      </c>
      <c r="AA9" s="30" t="n">
        <v>13</v>
      </c>
      <c r="AB9" s="30" t="n">
        <v>7</v>
      </c>
      <c r="AC9" s="30" t="n">
        <v>11</v>
      </c>
      <c r="AD9" s="30" t="n">
        <v>11</v>
      </c>
      <c r="AE9" s="30" t="n">
        <v>12</v>
      </c>
      <c r="AF9" s="30" t="n">
        <v>8</v>
      </c>
      <c r="AG9" s="30" t="n">
        <v>8</v>
      </c>
      <c r="AH9" s="30" t="n">
        <v>12</v>
      </c>
      <c r="AI9" s="30" t="n">
        <v>11</v>
      </c>
    </row>
    <row r="10" customFormat="false" ht="15" hidden="false" customHeight="true" outlineLevel="0" collapsed="false">
      <c r="A10" s="32" t="s">
        <v>98</v>
      </c>
      <c r="B10" s="33" t="s">
        <v>99</v>
      </c>
      <c r="C10" s="31" t="s">
        <v>85</v>
      </c>
      <c r="D10" s="33" t="s">
        <v>100</v>
      </c>
      <c r="E10" s="33" t="s">
        <v>87</v>
      </c>
      <c r="F10" s="33" t="n">
        <v>9</v>
      </c>
      <c r="G10" s="33" t="n">
        <v>9</v>
      </c>
      <c r="H10" s="33" t="n">
        <v>7</v>
      </c>
      <c r="I10" s="33" t="n">
        <v>9</v>
      </c>
      <c r="J10" s="33" t="n">
        <v>9</v>
      </c>
      <c r="K10" s="33" t="n">
        <v>7</v>
      </c>
      <c r="L10" s="33" t="n">
        <v>12</v>
      </c>
      <c r="M10" s="33" t="n">
        <v>9</v>
      </c>
      <c r="N10" s="33" t="n">
        <v>6</v>
      </c>
      <c r="O10" s="33" t="n">
        <v>10</v>
      </c>
      <c r="P10" s="33" t="n">
        <v>7</v>
      </c>
      <c r="Q10" s="33" t="n">
        <v>10</v>
      </c>
      <c r="R10" s="33" t="n">
        <v>11</v>
      </c>
      <c r="S10" s="33" t="n">
        <v>7</v>
      </c>
      <c r="T10" s="33" t="n">
        <v>10</v>
      </c>
      <c r="U10" s="33" t="n">
        <v>9</v>
      </c>
      <c r="V10" s="33" t="n">
        <v>10</v>
      </c>
      <c r="W10" s="33" t="n">
        <v>12</v>
      </c>
      <c r="X10" s="33" t="n">
        <v>8</v>
      </c>
      <c r="Y10" s="33" t="n">
        <v>7</v>
      </c>
      <c r="Z10" s="33" t="n">
        <v>7</v>
      </c>
      <c r="AA10" s="33" t="n">
        <v>7</v>
      </c>
      <c r="AB10" s="33" t="n">
        <v>8</v>
      </c>
      <c r="AC10" s="33" t="n">
        <v>9</v>
      </c>
      <c r="AD10" s="33" t="n">
        <v>9</v>
      </c>
      <c r="AE10" s="33" t="n">
        <v>10</v>
      </c>
      <c r="AF10" s="33" t="n">
        <v>9</v>
      </c>
      <c r="AG10" s="33" t="n">
        <v>11</v>
      </c>
      <c r="AH10" s="33" t="n">
        <v>8</v>
      </c>
      <c r="AI10" s="33" t="n">
        <v>14</v>
      </c>
    </row>
    <row r="11" customFormat="false" ht="15" hidden="false" customHeight="true" outlineLevel="0" collapsed="false">
      <c r="A11" s="29" t="s">
        <v>101</v>
      </c>
      <c r="B11" s="30" t="s">
        <v>102</v>
      </c>
      <c r="C11" s="35" t="s">
        <v>103</v>
      </c>
      <c r="D11" s="30" t="s">
        <v>100</v>
      </c>
      <c r="E11" s="30" t="s">
        <v>87</v>
      </c>
      <c r="F11" s="30" t="n">
        <v>6</v>
      </c>
      <c r="G11" s="30" t="n">
        <v>3</v>
      </c>
      <c r="H11" s="30" t="n">
        <v>2</v>
      </c>
      <c r="I11" s="30" t="n">
        <v>5</v>
      </c>
      <c r="J11" s="30" t="n">
        <v>4</v>
      </c>
      <c r="K11" s="30" t="n">
        <v>6</v>
      </c>
      <c r="L11" s="30" t="n">
        <v>5</v>
      </c>
      <c r="M11" s="30" t="n">
        <v>4</v>
      </c>
      <c r="N11" s="30" t="n">
        <v>3</v>
      </c>
      <c r="O11" s="30" t="n">
        <v>1</v>
      </c>
      <c r="P11" s="30" t="n">
        <v>4</v>
      </c>
      <c r="Q11" s="30" t="n">
        <v>6</v>
      </c>
      <c r="R11" s="30" t="n">
        <v>5</v>
      </c>
      <c r="S11" s="30" t="n">
        <v>2</v>
      </c>
      <c r="T11" s="30" t="n">
        <v>5</v>
      </c>
      <c r="U11" s="30" t="n">
        <v>5</v>
      </c>
      <c r="V11" s="30" t="n">
        <v>3</v>
      </c>
      <c r="W11" s="30" t="n">
        <v>5</v>
      </c>
      <c r="X11" s="30" t="n">
        <v>5</v>
      </c>
      <c r="Y11" s="30" t="n">
        <v>2</v>
      </c>
      <c r="Z11" s="30" t="n">
        <v>5</v>
      </c>
      <c r="AA11" s="30" t="n">
        <v>6</v>
      </c>
      <c r="AB11" s="30" t="n">
        <v>7</v>
      </c>
      <c r="AC11" s="30" t="n">
        <v>7</v>
      </c>
      <c r="AD11" s="30" t="n">
        <v>2</v>
      </c>
      <c r="AE11" s="30" t="n">
        <v>3</v>
      </c>
      <c r="AF11" s="30" t="n">
        <v>6</v>
      </c>
      <c r="AG11" s="30" t="n">
        <v>6</v>
      </c>
      <c r="AH11" s="30" t="n">
        <v>6</v>
      </c>
      <c r="AI11" s="30" t="n">
        <v>12</v>
      </c>
    </row>
    <row r="12" customFormat="false" ht="15" hidden="false" customHeight="true" outlineLevel="0" collapsed="false">
      <c r="A12" s="32" t="s">
        <v>104</v>
      </c>
      <c r="B12" s="33" t="s">
        <v>102</v>
      </c>
      <c r="C12" s="35" t="s">
        <v>103</v>
      </c>
      <c r="D12" s="33" t="s">
        <v>86</v>
      </c>
      <c r="E12" s="33" t="s">
        <v>87</v>
      </c>
      <c r="F12" s="33" t="n">
        <v>2</v>
      </c>
      <c r="G12" s="33" t="n">
        <v>3</v>
      </c>
      <c r="H12" s="33" t="n">
        <v>2</v>
      </c>
      <c r="I12" s="33" t="n">
        <v>2</v>
      </c>
      <c r="J12" s="33" t="n">
        <v>0</v>
      </c>
      <c r="K12" s="33" t="n">
        <v>2</v>
      </c>
      <c r="L12" s="33" t="n">
        <v>0</v>
      </c>
      <c r="M12" s="33" t="n">
        <v>0</v>
      </c>
      <c r="N12" s="33" t="n">
        <v>0</v>
      </c>
      <c r="O12" s="33" t="n">
        <v>1</v>
      </c>
      <c r="P12" s="33" t="n">
        <v>5</v>
      </c>
      <c r="Q12" s="33" t="n">
        <v>0</v>
      </c>
      <c r="R12" s="33" t="n">
        <v>2</v>
      </c>
      <c r="S12" s="33" t="n">
        <v>0</v>
      </c>
      <c r="T12" s="33" t="n">
        <v>0</v>
      </c>
      <c r="U12" s="33" t="n">
        <v>3</v>
      </c>
      <c r="V12" s="33" t="n">
        <v>1</v>
      </c>
      <c r="W12" s="33" t="n">
        <v>0</v>
      </c>
      <c r="X12" s="33" t="n">
        <v>0</v>
      </c>
      <c r="Y12" s="33" t="n">
        <v>2</v>
      </c>
      <c r="Z12" s="33" t="n">
        <v>0</v>
      </c>
      <c r="AA12" s="33" t="n">
        <v>1</v>
      </c>
      <c r="AB12" s="33" t="n">
        <v>1</v>
      </c>
      <c r="AC12" s="33" t="n">
        <v>0</v>
      </c>
      <c r="AD12" s="33" t="n">
        <v>5</v>
      </c>
      <c r="AE12" s="33" t="n">
        <v>2</v>
      </c>
      <c r="AF12" s="33" t="n">
        <v>0</v>
      </c>
      <c r="AG12" s="33" t="n">
        <v>1</v>
      </c>
      <c r="AH12" s="33" t="n">
        <v>0</v>
      </c>
      <c r="AI12" s="33" t="n">
        <v>2</v>
      </c>
    </row>
    <row r="13" customFormat="false" ht="15" hidden="false" customHeight="true" outlineLevel="0" collapsed="false">
      <c r="A13" s="29" t="s">
        <v>105</v>
      </c>
      <c r="B13" s="30" t="s">
        <v>106</v>
      </c>
      <c r="C13" s="34" t="s">
        <v>90</v>
      </c>
      <c r="D13" s="30" t="s">
        <v>86</v>
      </c>
      <c r="E13" s="30" t="s">
        <v>87</v>
      </c>
      <c r="F13" s="30" t="n">
        <v>3</v>
      </c>
      <c r="G13" s="30" t="n">
        <v>4</v>
      </c>
      <c r="H13" s="30" t="n">
        <v>6</v>
      </c>
      <c r="I13" s="30" t="n">
        <v>6</v>
      </c>
      <c r="J13" s="30" t="n">
        <v>2</v>
      </c>
      <c r="K13" s="30" t="n">
        <v>4</v>
      </c>
      <c r="L13" s="30" t="n">
        <v>4</v>
      </c>
      <c r="M13" s="30" t="n">
        <v>3</v>
      </c>
      <c r="N13" s="30" t="n">
        <v>8</v>
      </c>
      <c r="O13" s="30" t="n">
        <v>5</v>
      </c>
      <c r="P13" s="30" t="n">
        <v>2</v>
      </c>
      <c r="Q13" s="30" t="n">
        <v>6</v>
      </c>
      <c r="R13" s="30" t="n">
        <v>9</v>
      </c>
      <c r="S13" s="30" t="n">
        <v>7</v>
      </c>
      <c r="T13" s="30" t="n">
        <v>1</v>
      </c>
      <c r="U13" s="30" t="n">
        <v>4</v>
      </c>
      <c r="V13" s="30" t="n">
        <v>7</v>
      </c>
      <c r="W13" s="30" t="n">
        <v>3</v>
      </c>
      <c r="X13" s="30" t="n">
        <v>5</v>
      </c>
      <c r="Y13" s="30" t="n">
        <v>6</v>
      </c>
      <c r="Z13" s="30" t="n">
        <v>3</v>
      </c>
      <c r="AA13" s="30" t="n">
        <v>4</v>
      </c>
      <c r="AB13" s="30" t="n">
        <v>0</v>
      </c>
      <c r="AC13" s="30" t="n">
        <v>2</v>
      </c>
      <c r="AD13" s="30" t="n">
        <v>4</v>
      </c>
      <c r="AE13" s="30" t="n">
        <v>2</v>
      </c>
      <c r="AF13" s="30" t="n">
        <v>8</v>
      </c>
      <c r="AG13" s="30" t="n">
        <v>2</v>
      </c>
      <c r="AH13" s="30" t="n">
        <v>4</v>
      </c>
      <c r="AI13" s="30" t="n">
        <v>5</v>
      </c>
    </row>
    <row r="14" customFormat="false" ht="15" hidden="false" customHeight="true" outlineLevel="0" collapsed="false">
      <c r="A14" s="32" t="s">
        <v>107</v>
      </c>
      <c r="B14" s="33" t="s">
        <v>99</v>
      </c>
      <c r="C14" s="31" t="s">
        <v>85</v>
      </c>
      <c r="D14" s="33" t="s">
        <v>100</v>
      </c>
      <c r="E14" s="33" t="s">
        <v>87</v>
      </c>
      <c r="F14" s="33" t="n">
        <v>10</v>
      </c>
      <c r="G14" s="33" t="n">
        <v>5</v>
      </c>
      <c r="H14" s="33" t="n">
        <v>10</v>
      </c>
      <c r="I14" s="33" t="n">
        <v>8</v>
      </c>
      <c r="J14" s="33" t="n">
        <v>6</v>
      </c>
      <c r="K14" s="33" t="n">
        <v>8</v>
      </c>
      <c r="L14" s="33" t="n">
        <v>8</v>
      </c>
      <c r="M14" s="33" t="n">
        <v>6</v>
      </c>
      <c r="N14" s="33" t="n">
        <v>8</v>
      </c>
      <c r="O14" s="33" t="n">
        <v>7</v>
      </c>
      <c r="P14" s="33" t="n">
        <v>8</v>
      </c>
      <c r="Q14" s="33" t="n">
        <v>9</v>
      </c>
      <c r="R14" s="33" t="n">
        <v>11</v>
      </c>
      <c r="S14" s="33" t="n">
        <v>5</v>
      </c>
      <c r="T14" s="33" t="n">
        <v>12</v>
      </c>
      <c r="U14" s="33" t="n">
        <v>4</v>
      </c>
      <c r="V14" s="33" t="n">
        <v>7</v>
      </c>
      <c r="W14" s="33" t="n">
        <v>9</v>
      </c>
      <c r="X14" s="33" t="n">
        <v>8</v>
      </c>
      <c r="Y14" s="33" t="n">
        <v>6</v>
      </c>
      <c r="Z14" s="33" t="n">
        <v>7</v>
      </c>
      <c r="AA14" s="33" t="n">
        <v>7</v>
      </c>
      <c r="AB14" s="33" t="n">
        <v>6</v>
      </c>
      <c r="AC14" s="33" t="n">
        <v>9</v>
      </c>
      <c r="AD14" s="33" t="n">
        <v>8</v>
      </c>
      <c r="AE14" s="33" t="n">
        <v>6</v>
      </c>
      <c r="AF14" s="33" t="n">
        <v>9</v>
      </c>
      <c r="AG14" s="33" t="n">
        <v>8</v>
      </c>
      <c r="AH14" s="33" t="n">
        <v>9</v>
      </c>
      <c r="AI14" s="33" t="n">
        <v>9</v>
      </c>
    </row>
    <row r="15" customFormat="false" ht="15" hidden="false" customHeight="true" outlineLevel="0" collapsed="false">
      <c r="A15" s="29" t="s">
        <v>108</v>
      </c>
      <c r="B15" s="30" t="s">
        <v>106</v>
      </c>
      <c r="C15" s="34" t="s">
        <v>90</v>
      </c>
      <c r="D15" s="30" t="s">
        <v>86</v>
      </c>
      <c r="E15" s="30" t="s">
        <v>87</v>
      </c>
      <c r="F15" s="30" t="n">
        <v>8</v>
      </c>
      <c r="G15" s="30" t="n">
        <v>8</v>
      </c>
      <c r="H15" s="30" t="n">
        <v>11</v>
      </c>
      <c r="I15" s="30" t="n">
        <v>11</v>
      </c>
      <c r="J15" s="30" t="n">
        <v>9</v>
      </c>
      <c r="K15" s="30" t="n">
        <v>10</v>
      </c>
      <c r="L15" s="30" t="n">
        <v>12</v>
      </c>
      <c r="M15" s="30" t="n">
        <v>8</v>
      </c>
      <c r="N15" s="30" t="n">
        <v>11</v>
      </c>
      <c r="O15" s="30" t="n">
        <v>9</v>
      </c>
      <c r="P15" s="30" t="n">
        <v>9</v>
      </c>
      <c r="Q15" s="30" t="n">
        <v>12</v>
      </c>
      <c r="R15" s="30" t="n">
        <v>11</v>
      </c>
      <c r="S15" s="30" t="n">
        <v>11</v>
      </c>
      <c r="T15" s="30" t="n">
        <v>12</v>
      </c>
      <c r="U15" s="30" t="n">
        <v>10</v>
      </c>
      <c r="V15" s="30" t="n">
        <v>11</v>
      </c>
      <c r="W15" s="30" t="n">
        <v>9</v>
      </c>
      <c r="X15" s="30" t="n">
        <v>10</v>
      </c>
      <c r="Y15" s="30" t="n">
        <v>9</v>
      </c>
      <c r="Z15" s="30" t="n">
        <v>10</v>
      </c>
      <c r="AA15" s="30" t="n">
        <v>11</v>
      </c>
      <c r="AB15" s="30" t="n">
        <v>8</v>
      </c>
      <c r="AC15" s="30" t="n">
        <v>14</v>
      </c>
      <c r="AD15" s="30" t="n">
        <v>7</v>
      </c>
      <c r="AE15" s="30" t="n">
        <v>7</v>
      </c>
      <c r="AF15" s="30" t="n">
        <v>12</v>
      </c>
      <c r="AG15" s="30" t="n">
        <v>11</v>
      </c>
      <c r="AH15" s="30" t="n">
        <v>11</v>
      </c>
      <c r="AI15" s="30" t="n">
        <v>11</v>
      </c>
    </row>
    <row r="16" customFormat="false" ht="15" hidden="false" customHeight="true" outlineLevel="0" collapsed="false">
      <c r="A16" s="32" t="s">
        <v>109</v>
      </c>
      <c r="B16" s="33" t="s">
        <v>99</v>
      </c>
      <c r="C16" s="31" t="s">
        <v>85</v>
      </c>
      <c r="D16" s="33" t="s">
        <v>91</v>
      </c>
      <c r="E16" s="33" t="s">
        <v>92</v>
      </c>
      <c r="F16" s="33" t="n">
        <v>10</v>
      </c>
      <c r="G16" s="33" t="n">
        <v>9</v>
      </c>
      <c r="H16" s="33" t="n">
        <v>11</v>
      </c>
      <c r="I16" s="33" t="n">
        <v>9</v>
      </c>
      <c r="J16" s="33" t="n">
        <v>12</v>
      </c>
      <c r="K16" s="33" t="n">
        <v>10</v>
      </c>
      <c r="L16" s="33" t="n">
        <v>9</v>
      </c>
      <c r="M16" s="33" t="n">
        <v>10</v>
      </c>
      <c r="N16" s="33" t="n">
        <v>11</v>
      </c>
      <c r="O16" s="33" t="n">
        <v>9</v>
      </c>
      <c r="P16" s="33" t="n">
        <v>9</v>
      </c>
      <c r="Q16" s="33" t="n">
        <v>11</v>
      </c>
      <c r="R16" s="33" t="n">
        <v>11</v>
      </c>
      <c r="S16" s="33" t="n">
        <v>9</v>
      </c>
      <c r="T16" s="33" t="n">
        <v>10</v>
      </c>
      <c r="U16" s="33" t="n">
        <v>11</v>
      </c>
      <c r="V16" s="33" t="n">
        <v>8</v>
      </c>
      <c r="W16" s="33" t="n">
        <v>8</v>
      </c>
      <c r="X16" s="33" t="n">
        <v>9</v>
      </c>
      <c r="Y16" s="33" t="n">
        <v>10</v>
      </c>
      <c r="Z16" s="33" t="n">
        <v>11</v>
      </c>
      <c r="AA16" s="33" t="n">
        <v>13</v>
      </c>
      <c r="AB16" s="33" t="n">
        <v>12</v>
      </c>
      <c r="AC16" s="33" t="n">
        <v>10</v>
      </c>
      <c r="AD16" s="33" t="n">
        <v>10</v>
      </c>
      <c r="AE16" s="33" t="n">
        <v>8</v>
      </c>
      <c r="AF16" s="33" t="n">
        <v>10</v>
      </c>
      <c r="AG16" s="33" t="n">
        <v>10</v>
      </c>
      <c r="AH16" s="33" t="n">
        <v>11</v>
      </c>
      <c r="AI16" s="33" t="n">
        <v>9</v>
      </c>
    </row>
    <row r="17" customFormat="false" ht="15" hidden="false" customHeight="true" outlineLevel="0" collapsed="false">
      <c r="A17" s="29" t="s">
        <v>110</v>
      </c>
      <c r="B17" s="30" t="s">
        <v>89</v>
      </c>
      <c r="C17" s="34" t="s">
        <v>90</v>
      </c>
      <c r="D17" s="30" t="s">
        <v>91</v>
      </c>
      <c r="E17" s="30" t="s">
        <v>92</v>
      </c>
      <c r="F17" s="30" t="n">
        <v>13</v>
      </c>
      <c r="G17" s="30" t="n">
        <v>15</v>
      </c>
      <c r="H17" s="30" t="n">
        <v>11</v>
      </c>
      <c r="I17" s="30" t="n">
        <v>12</v>
      </c>
      <c r="J17" s="30" t="n">
        <v>13</v>
      </c>
      <c r="K17" s="30" t="n">
        <v>11</v>
      </c>
      <c r="L17" s="30" t="n">
        <v>12</v>
      </c>
      <c r="M17" s="30" t="n">
        <v>12</v>
      </c>
      <c r="N17" s="30" t="n">
        <v>12</v>
      </c>
      <c r="O17" s="30" t="n">
        <v>10</v>
      </c>
      <c r="P17" s="30" t="n">
        <v>12</v>
      </c>
      <c r="Q17" s="30" t="n">
        <v>12</v>
      </c>
      <c r="R17" s="30" t="n">
        <v>14</v>
      </c>
      <c r="S17" s="30" t="n">
        <v>13</v>
      </c>
      <c r="T17" s="30" t="n">
        <v>16</v>
      </c>
      <c r="U17" s="30" t="n">
        <v>10</v>
      </c>
      <c r="V17" s="30" t="n">
        <v>13</v>
      </c>
      <c r="W17" s="30" t="n">
        <v>12</v>
      </c>
      <c r="X17" s="30" t="n">
        <v>16</v>
      </c>
      <c r="Y17" s="30" t="n">
        <v>10</v>
      </c>
      <c r="Z17" s="30" t="n">
        <v>10</v>
      </c>
      <c r="AA17" s="30" t="n">
        <v>10</v>
      </c>
      <c r="AB17" s="30" t="n">
        <v>7</v>
      </c>
      <c r="AC17" s="30" t="n">
        <v>10</v>
      </c>
      <c r="AD17" s="30" t="n">
        <v>10</v>
      </c>
      <c r="AE17" s="30" t="n">
        <v>12</v>
      </c>
      <c r="AF17" s="30" t="n">
        <v>12</v>
      </c>
      <c r="AG17" s="30" t="n">
        <v>15</v>
      </c>
      <c r="AH17" s="30" t="n">
        <v>13</v>
      </c>
      <c r="AI17" s="30" t="n">
        <v>10</v>
      </c>
    </row>
    <row r="18" customFormat="false" ht="15" hidden="false" customHeight="true" outlineLevel="0" collapsed="false">
      <c r="A18" s="32" t="s">
        <v>111</v>
      </c>
      <c r="B18" s="33" t="s">
        <v>102</v>
      </c>
      <c r="C18" s="35" t="s">
        <v>103</v>
      </c>
      <c r="D18" s="33" t="s">
        <v>112</v>
      </c>
      <c r="E18" s="33" t="s">
        <v>87</v>
      </c>
      <c r="F18" s="33" t="n">
        <v>4</v>
      </c>
      <c r="G18" s="33" t="n">
        <v>6</v>
      </c>
      <c r="H18" s="33" t="n">
        <v>3</v>
      </c>
      <c r="I18" s="33" t="n">
        <v>9</v>
      </c>
      <c r="J18" s="33" t="n">
        <v>8</v>
      </c>
      <c r="K18" s="33" t="n">
        <v>5</v>
      </c>
      <c r="L18" s="33" t="n">
        <v>2</v>
      </c>
      <c r="M18" s="33" t="n">
        <v>8</v>
      </c>
      <c r="N18" s="33" t="n">
        <v>5</v>
      </c>
      <c r="O18" s="33" t="n">
        <v>8</v>
      </c>
      <c r="P18" s="33" t="n">
        <v>2</v>
      </c>
      <c r="Q18" s="33" t="n">
        <v>4</v>
      </c>
      <c r="R18" s="33" t="n">
        <v>6</v>
      </c>
      <c r="S18" s="33" t="n">
        <v>6</v>
      </c>
      <c r="T18" s="33" t="n">
        <v>5</v>
      </c>
      <c r="U18" s="33" t="n">
        <v>7</v>
      </c>
      <c r="V18" s="33" t="n">
        <v>3</v>
      </c>
      <c r="W18" s="33" t="n">
        <v>5</v>
      </c>
      <c r="X18" s="33" t="n">
        <v>6</v>
      </c>
      <c r="Y18" s="33" t="n">
        <v>7</v>
      </c>
      <c r="Z18" s="33" t="n">
        <v>7</v>
      </c>
      <c r="AA18" s="33" t="n">
        <v>3</v>
      </c>
      <c r="AB18" s="33" t="n">
        <v>2</v>
      </c>
      <c r="AC18" s="33" t="n">
        <v>8</v>
      </c>
      <c r="AD18" s="33" t="n">
        <v>6</v>
      </c>
      <c r="AE18" s="33" t="n">
        <v>4</v>
      </c>
      <c r="AF18" s="33" t="n">
        <v>9</v>
      </c>
      <c r="AG18" s="33" t="n">
        <v>6</v>
      </c>
      <c r="AH18" s="33" t="n">
        <v>8</v>
      </c>
      <c r="AI18" s="33" t="n">
        <v>6</v>
      </c>
    </row>
    <row r="19" customFormat="false" ht="15" hidden="false" customHeight="true" outlineLevel="0" collapsed="false">
      <c r="A19" s="29" t="s">
        <v>113</v>
      </c>
      <c r="B19" s="30" t="s">
        <v>114</v>
      </c>
      <c r="C19" s="35" t="s">
        <v>103</v>
      </c>
      <c r="D19" s="30" t="s">
        <v>94</v>
      </c>
      <c r="E19" s="30" t="s">
        <v>92</v>
      </c>
      <c r="F19" s="30" t="n">
        <v>6</v>
      </c>
      <c r="G19" s="30" t="n">
        <v>5</v>
      </c>
      <c r="H19" s="30" t="n">
        <v>1</v>
      </c>
      <c r="I19" s="30" t="n">
        <v>3</v>
      </c>
      <c r="J19" s="30" t="n">
        <v>3</v>
      </c>
      <c r="K19" s="30" t="n">
        <v>4</v>
      </c>
      <c r="L19" s="30" t="n">
        <v>0</v>
      </c>
      <c r="M19" s="30" t="n">
        <v>3</v>
      </c>
      <c r="N19" s="30" t="n">
        <v>4</v>
      </c>
      <c r="O19" s="30" t="n">
        <v>0</v>
      </c>
      <c r="P19" s="30" t="n">
        <v>0</v>
      </c>
      <c r="Q19" s="30" t="n">
        <v>0</v>
      </c>
      <c r="R19" s="30" t="n">
        <v>1</v>
      </c>
      <c r="S19" s="30" t="n">
        <v>3</v>
      </c>
      <c r="T19" s="30" t="n">
        <v>5</v>
      </c>
      <c r="U19" s="30" t="n">
        <v>2</v>
      </c>
      <c r="V19" s="30" t="n">
        <v>5</v>
      </c>
      <c r="W19" s="30" t="n">
        <v>0</v>
      </c>
      <c r="X19" s="30" t="n">
        <v>0</v>
      </c>
      <c r="Y19" s="30" t="n">
        <v>1</v>
      </c>
      <c r="Z19" s="30" t="n">
        <v>2</v>
      </c>
      <c r="AA19" s="30" t="n">
        <v>1</v>
      </c>
      <c r="AB19" s="30" t="n">
        <v>0</v>
      </c>
      <c r="AC19" s="30" t="n">
        <v>1</v>
      </c>
      <c r="AD19" s="30" t="n">
        <v>0</v>
      </c>
      <c r="AE19" s="30" t="n">
        <v>3</v>
      </c>
      <c r="AF19" s="30" t="n">
        <v>2</v>
      </c>
      <c r="AG19" s="30" t="n">
        <v>0</v>
      </c>
      <c r="AH19" s="30" t="n">
        <v>0</v>
      </c>
      <c r="AI19" s="30" t="n">
        <v>0</v>
      </c>
    </row>
    <row r="20" customFormat="false" ht="15" hidden="false" customHeight="true" outlineLevel="0" collapsed="false">
      <c r="A20" s="32" t="s">
        <v>115</v>
      </c>
      <c r="B20" s="33" t="s">
        <v>114</v>
      </c>
      <c r="C20" s="35" t="s">
        <v>103</v>
      </c>
      <c r="D20" s="33" t="s">
        <v>86</v>
      </c>
      <c r="E20" s="33" t="s">
        <v>87</v>
      </c>
      <c r="F20" s="33" t="n">
        <v>10</v>
      </c>
      <c r="G20" s="33" t="n">
        <v>12</v>
      </c>
      <c r="H20" s="33" t="n">
        <v>9</v>
      </c>
      <c r="I20" s="33" t="n">
        <v>12</v>
      </c>
      <c r="J20" s="33" t="n">
        <v>9</v>
      </c>
      <c r="K20" s="33" t="n">
        <v>9</v>
      </c>
      <c r="L20" s="33" t="n">
        <v>10</v>
      </c>
      <c r="M20" s="33" t="n">
        <v>8</v>
      </c>
      <c r="N20" s="33" t="n">
        <v>9</v>
      </c>
      <c r="O20" s="33" t="n">
        <v>8</v>
      </c>
      <c r="P20" s="33" t="n">
        <v>14</v>
      </c>
      <c r="Q20" s="33" t="n">
        <v>11</v>
      </c>
      <c r="R20" s="33" t="n">
        <v>9</v>
      </c>
      <c r="S20" s="33" t="n">
        <v>11</v>
      </c>
      <c r="T20" s="33" t="n">
        <v>10</v>
      </c>
      <c r="U20" s="33" t="n">
        <v>10</v>
      </c>
      <c r="V20" s="33" t="n">
        <v>12</v>
      </c>
      <c r="W20" s="33" t="n">
        <v>12</v>
      </c>
      <c r="X20" s="33" t="n">
        <v>9</v>
      </c>
      <c r="Y20" s="33" t="n">
        <v>9</v>
      </c>
      <c r="Z20" s="33" t="n">
        <v>10</v>
      </c>
      <c r="AA20" s="33" t="n">
        <v>6</v>
      </c>
      <c r="AB20" s="33" t="n">
        <v>7</v>
      </c>
      <c r="AC20" s="33" t="n">
        <v>13</v>
      </c>
      <c r="AD20" s="33" t="n">
        <v>14</v>
      </c>
      <c r="AE20" s="33" t="n">
        <v>10</v>
      </c>
      <c r="AF20" s="33" t="n">
        <v>12</v>
      </c>
      <c r="AG20" s="33" t="n">
        <v>11</v>
      </c>
      <c r="AH20" s="33" t="n">
        <v>17</v>
      </c>
      <c r="AI20" s="33" t="n">
        <v>13</v>
      </c>
    </row>
    <row r="21" customFormat="false" ht="15" hidden="false" customHeight="true" outlineLevel="0" collapsed="false">
      <c r="A21" s="29" t="s">
        <v>116</v>
      </c>
      <c r="B21" s="30" t="s">
        <v>84</v>
      </c>
      <c r="C21" s="31" t="s">
        <v>85</v>
      </c>
      <c r="D21" s="30" t="s">
        <v>117</v>
      </c>
      <c r="E21" s="30" t="s">
        <v>92</v>
      </c>
      <c r="F21" s="30" t="n">
        <v>1</v>
      </c>
      <c r="G21" s="30" t="n">
        <v>0</v>
      </c>
      <c r="H21" s="30" t="n">
        <v>0</v>
      </c>
      <c r="I21" s="30" t="n">
        <v>2</v>
      </c>
      <c r="J21" s="30" t="n">
        <v>0</v>
      </c>
      <c r="K21" s="30" t="n">
        <v>0</v>
      </c>
      <c r="L21" s="30" t="n">
        <v>0</v>
      </c>
      <c r="M21" s="30" t="n">
        <v>0</v>
      </c>
      <c r="N21" s="30" t="n">
        <v>5</v>
      </c>
      <c r="O21" s="30" t="n">
        <v>3</v>
      </c>
      <c r="P21" s="30" t="n">
        <v>1</v>
      </c>
      <c r="Q21" s="30" t="n">
        <v>4</v>
      </c>
      <c r="R21" s="30" t="n">
        <v>2</v>
      </c>
      <c r="S21" s="30" t="n">
        <v>0</v>
      </c>
      <c r="T21" s="30" t="n">
        <v>5</v>
      </c>
      <c r="U21" s="30" t="n">
        <v>3</v>
      </c>
      <c r="V21" s="30" t="n">
        <v>0</v>
      </c>
      <c r="W21" s="30" t="n">
        <v>1</v>
      </c>
      <c r="X21" s="30" t="n">
        <v>0</v>
      </c>
      <c r="Y21" s="30" t="n">
        <v>0</v>
      </c>
      <c r="Z21" s="30" t="n">
        <v>3</v>
      </c>
      <c r="AA21" s="30" t="n">
        <v>5</v>
      </c>
      <c r="AB21" s="30" t="n">
        <v>0</v>
      </c>
      <c r="AC21" s="30" t="n">
        <v>3</v>
      </c>
      <c r="AD21" s="30" t="n">
        <v>0</v>
      </c>
      <c r="AE21" s="30" t="n">
        <v>1</v>
      </c>
      <c r="AF21" s="30" t="n">
        <v>0</v>
      </c>
      <c r="AG21" s="30" t="n">
        <v>0</v>
      </c>
      <c r="AH21" s="30" t="n">
        <v>2</v>
      </c>
      <c r="AI21" s="30" t="n">
        <v>0</v>
      </c>
    </row>
    <row r="22" customFormat="false" ht="15" hidden="false" customHeight="true" outlineLevel="0" collapsed="false">
      <c r="A22" s="32" t="s">
        <v>118</v>
      </c>
      <c r="B22" s="33" t="s">
        <v>84</v>
      </c>
      <c r="C22" s="31" t="s">
        <v>85</v>
      </c>
      <c r="D22" s="33" t="s">
        <v>100</v>
      </c>
      <c r="E22" s="33" t="s">
        <v>87</v>
      </c>
      <c r="F22" s="33" t="n">
        <v>6</v>
      </c>
      <c r="G22" s="33" t="n">
        <v>5</v>
      </c>
      <c r="H22" s="33" t="n">
        <v>5</v>
      </c>
      <c r="I22" s="33" t="n">
        <v>4</v>
      </c>
      <c r="J22" s="33" t="n">
        <v>4</v>
      </c>
      <c r="K22" s="33" t="n">
        <v>7</v>
      </c>
      <c r="L22" s="33" t="n">
        <v>7</v>
      </c>
      <c r="M22" s="33" t="n">
        <v>4</v>
      </c>
      <c r="N22" s="33" t="n">
        <v>6</v>
      </c>
      <c r="O22" s="33" t="n">
        <v>7</v>
      </c>
      <c r="P22" s="33" t="n">
        <v>2</v>
      </c>
      <c r="Q22" s="33" t="n">
        <v>7</v>
      </c>
      <c r="R22" s="33" t="n">
        <v>4</v>
      </c>
      <c r="S22" s="33" t="n">
        <v>7</v>
      </c>
      <c r="T22" s="33" t="n">
        <v>4</v>
      </c>
      <c r="U22" s="33" t="n">
        <v>2</v>
      </c>
      <c r="V22" s="33" t="n">
        <v>2</v>
      </c>
      <c r="W22" s="33" t="n">
        <v>6</v>
      </c>
      <c r="X22" s="33" t="n">
        <v>6</v>
      </c>
      <c r="Y22" s="33" t="n">
        <v>4</v>
      </c>
      <c r="Z22" s="33" t="n">
        <v>7</v>
      </c>
      <c r="AA22" s="33" t="n">
        <v>2</v>
      </c>
      <c r="AB22" s="33" t="n">
        <v>5</v>
      </c>
      <c r="AC22" s="33" t="n">
        <v>3</v>
      </c>
      <c r="AD22" s="33" t="n">
        <v>4</v>
      </c>
      <c r="AE22" s="33" t="n">
        <v>6</v>
      </c>
      <c r="AF22" s="33" t="n">
        <v>4</v>
      </c>
      <c r="AG22" s="33" t="n">
        <v>5</v>
      </c>
      <c r="AH22" s="33" t="n">
        <v>8</v>
      </c>
      <c r="AI22" s="33" t="n">
        <v>4</v>
      </c>
    </row>
    <row r="23" customFormat="false" ht="15" hidden="false" customHeight="true" outlineLevel="0" collapsed="false">
      <c r="A23" s="29" t="s">
        <v>119</v>
      </c>
      <c r="B23" s="30" t="s">
        <v>120</v>
      </c>
      <c r="C23" s="35" t="s">
        <v>103</v>
      </c>
      <c r="D23" s="30" t="s">
        <v>117</v>
      </c>
      <c r="E23" s="30" t="s">
        <v>92</v>
      </c>
      <c r="F23" s="30" t="n">
        <v>4</v>
      </c>
      <c r="G23" s="30" t="n">
        <v>0</v>
      </c>
      <c r="H23" s="30" t="n">
        <v>4</v>
      </c>
      <c r="I23" s="30" t="n">
        <v>5</v>
      </c>
      <c r="J23" s="30" t="n">
        <v>0</v>
      </c>
      <c r="K23" s="30" t="n">
        <v>1</v>
      </c>
      <c r="L23" s="30" t="n">
        <v>4</v>
      </c>
      <c r="M23" s="30" t="n">
        <v>2</v>
      </c>
      <c r="N23" s="30" t="n">
        <v>3</v>
      </c>
      <c r="O23" s="30" t="n">
        <v>1</v>
      </c>
      <c r="P23" s="30" t="n">
        <v>3</v>
      </c>
      <c r="Q23" s="30" t="n">
        <v>2</v>
      </c>
      <c r="R23" s="30" t="n">
        <v>5</v>
      </c>
      <c r="S23" s="30" t="n">
        <v>3</v>
      </c>
      <c r="T23" s="30" t="n">
        <v>3</v>
      </c>
      <c r="U23" s="30" t="n">
        <v>2</v>
      </c>
      <c r="V23" s="30" t="n">
        <v>2</v>
      </c>
      <c r="W23" s="30" t="n">
        <v>2</v>
      </c>
      <c r="X23" s="30" t="n">
        <v>3</v>
      </c>
      <c r="Y23" s="30" t="n">
        <v>2</v>
      </c>
      <c r="Z23" s="30" t="n">
        <v>3</v>
      </c>
      <c r="AA23" s="30" t="n">
        <v>7</v>
      </c>
      <c r="AB23" s="30" t="n">
        <v>4</v>
      </c>
      <c r="AC23" s="30" t="n">
        <v>2</v>
      </c>
      <c r="AD23" s="30" t="n">
        <v>5</v>
      </c>
      <c r="AE23" s="30" t="n">
        <v>2</v>
      </c>
      <c r="AF23" s="30" t="n">
        <v>0</v>
      </c>
      <c r="AG23" s="30" t="n">
        <v>0</v>
      </c>
      <c r="AH23" s="30" t="n">
        <v>0</v>
      </c>
      <c r="AI23" s="30" t="n">
        <v>2</v>
      </c>
    </row>
    <row r="24" customFormat="false" ht="15" hidden="false" customHeight="true" outlineLevel="0" collapsed="false">
      <c r="A24" s="32" t="s">
        <v>121</v>
      </c>
      <c r="B24" s="33" t="s">
        <v>99</v>
      </c>
      <c r="C24" s="31" t="s">
        <v>85</v>
      </c>
      <c r="D24" s="33" t="s">
        <v>96</v>
      </c>
      <c r="E24" s="33" t="s">
        <v>87</v>
      </c>
      <c r="F24" s="33" t="n">
        <v>0</v>
      </c>
      <c r="G24" s="33" t="n">
        <v>3</v>
      </c>
      <c r="H24" s="33" t="n">
        <v>0</v>
      </c>
      <c r="I24" s="33" t="n">
        <v>0</v>
      </c>
      <c r="J24" s="33" t="n">
        <v>1</v>
      </c>
      <c r="K24" s="33" t="n">
        <v>0</v>
      </c>
      <c r="L24" s="33" t="n">
        <v>0</v>
      </c>
      <c r="M24" s="33" t="n">
        <v>1</v>
      </c>
      <c r="N24" s="33" t="n">
        <v>0</v>
      </c>
      <c r="O24" s="33" t="n">
        <v>2</v>
      </c>
      <c r="P24" s="33" t="n">
        <v>0</v>
      </c>
      <c r="Q24" s="33" t="n">
        <v>0</v>
      </c>
      <c r="R24" s="33" t="n">
        <v>1</v>
      </c>
      <c r="S24" s="33" t="n">
        <v>4</v>
      </c>
      <c r="T24" s="33" t="n">
        <v>0</v>
      </c>
      <c r="U24" s="33" t="n">
        <v>0</v>
      </c>
      <c r="V24" s="33" t="n">
        <v>0</v>
      </c>
      <c r="W24" s="33" t="n">
        <v>0</v>
      </c>
      <c r="X24" s="33" t="n">
        <v>1</v>
      </c>
      <c r="Y24" s="33" t="n">
        <v>0</v>
      </c>
      <c r="Z24" s="33" t="n">
        <v>0</v>
      </c>
      <c r="AA24" s="33" t="n">
        <v>0</v>
      </c>
      <c r="AB24" s="33" t="n">
        <v>0</v>
      </c>
      <c r="AC24" s="33" t="n">
        <v>0</v>
      </c>
      <c r="AD24" s="33" t="n">
        <v>2</v>
      </c>
      <c r="AE24" s="33" t="n">
        <v>0</v>
      </c>
      <c r="AF24" s="33" t="n">
        <v>0</v>
      </c>
      <c r="AG24" s="33" t="n">
        <v>0</v>
      </c>
      <c r="AH24" s="33" t="n">
        <v>0</v>
      </c>
      <c r="AI24" s="33" t="n">
        <v>0</v>
      </c>
    </row>
    <row r="25" customFormat="false" ht="15" hidden="false" customHeight="true" outlineLevel="0" collapsed="false">
      <c r="A25" s="29" t="s">
        <v>122</v>
      </c>
      <c r="B25" s="30" t="s">
        <v>114</v>
      </c>
      <c r="C25" s="35" t="s">
        <v>103</v>
      </c>
      <c r="D25" s="30" t="s">
        <v>123</v>
      </c>
      <c r="E25" s="30" t="s">
        <v>124</v>
      </c>
      <c r="F25" s="30" t="n">
        <v>4</v>
      </c>
      <c r="G25" s="30" t="n">
        <v>1</v>
      </c>
      <c r="H25" s="30" t="n">
        <v>4</v>
      </c>
      <c r="I25" s="30" t="n">
        <v>5</v>
      </c>
      <c r="J25" s="30" t="n">
        <v>3</v>
      </c>
      <c r="K25" s="30" t="n">
        <v>6</v>
      </c>
      <c r="L25" s="30" t="n">
        <v>1</v>
      </c>
      <c r="M25" s="30" t="n">
        <v>0</v>
      </c>
      <c r="N25" s="30" t="n">
        <v>0</v>
      </c>
      <c r="O25" s="30" t="n">
        <v>5</v>
      </c>
      <c r="P25" s="30" t="n">
        <v>4</v>
      </c>
      <c r="Q25" s="30" t="n">
        <v>2</v>
      </c>
      <c r="R25" s="30" t="n">
        <v>3</v>
      </c>
      <c r="S25" s="30" t="n">
        <v>0</v>
      </c>
      <c r="T25" s="30" t="n">
        <v>7</v>
      </c>
      <c r="U25" s="30" t="n">
        <v>3</v>
      </c>
      <c r="V25" s="30" t="n">
        <v>3</v>
      </c>
      <c r="W25" s="30" t="n">
        <v>4</v>
      </c>
      <c r="X25" s="30" t="n">
        <v>3</v>
      </c>
      <c r="Y25" s="30" t="n">
        <v>3</v>
      </c>
      <c r="Z25" s="30" t="n">
        <v>1</v>
      </c>
      <c r="AA25" s="30" t="n">
        <v>3</v>
      </c>
      <c r="AB25" s="30" t="n">
        <v>6</v>
      </c>
      <c r="AC25" s="30" t="n">
        <v>5</v>
      </c>
      <c r="AD25" s="30" t="n">
        <v>6</v>
      </c>
      <c r="AE25" s="30" t="n">
        <v>1</v>
      </c>
      <c r="AF25" s="30" t="n">
        <v>1</v>
      </c>
      <c r="AG25" s="30" t="n">
        <v>2</v>
      </c>
      <c r="AH25" s="30" t="n">
        <v>3</v>
      </c>
      <c r="AI25" s="30" t="n">
        <v>5</v>
      </c>
    </row>
    <row r="26" customFormat="false" ht="15" hidden="false" customHeight="true" outlineLevel="0" collapsed="false">
      <c r="A26" s="32" t="s">
        <v>125</v>
      </c>
      <c r="B26" s="33" t="s">
        <v>99</v>
      </c>
      <c r="C26" s="31" t="s">
        <v>85</v>
      </c>
      <c r="D26" s="33" t="s">
        <v>100</v>
      </c>
      <c r="E26" s="33" t="s">
        <v>87</v>
      </c>
      <c r="F26" s="33" t="n">
        <v>2</v>
      </c>
      <c r="G26" s="33" t="n">
        <v>9</v>
      </c>
      <c r="H26" s="33" t="n">
        <v>5</v>
      </c>
      <c r="I26" s="33" t="n">
        <v>5</v>
      </c>
      <c r="J26" s="33" t="n">
        <v>3</v>
      </c>
      <c r="K26" s="33" t="n">
        <v>2</v>
      </c>
      <c r="L26" s="33" t="n">
        <v>7</v>
      </c>
      <c r="M26" s="33" t="n">
        <v>6</v>
      </c>
      <c r="N26" s="33" t="n">
        <v>3</v>
      </c>
      <c r="O26" s="33" t="n">
        <v>3</v>
      </c>
      <c r="P26" s="33" t="n">
        <v>5</v>
      </c>
      <c r="Q26" s="33" t="n">
        <v>9</v>
      </c>
      <c r="R26" s="33" t="n">
        <v>5</v>
      </c>
      <c r="S26" s="33" t="n">
        <v>2</v>
      </c>
      <c r="T26" s="33" t="n">
        <v>5</v>
      </c>
      <c r="U26" s="33" t="n">
        <v>5</v>
      </c>
      <c r="V26" s="33" t="n">
        <v>0</v>
      </c>
      <c r="W26" s="33" t="n">
        <v>5</v>
      </c>
      <c r="X26" s="33" t="n">
        <v>5</v>
      </c>
      <c r="Y26" s="33" t="n">
        <v>7</v>
      </c>
      <c r="Z26" s="33" t="n">
        <v>9</v>
      </c>
      <c r="AA26" s="33" t="n">
        <v>8</v>
      </c>
      <c r="AB26" s="33" t="n">
        <v>5</v>
      </c>
      <c r="AC26" s="33" t="n">
        <v>3</v>
      </c>
      <c r="AD26" s="33" t="n">
        <v>11</v>
      </c>
      <c r="AE26" s="33" t="n">
        <v>6</v>
      </c>
      <c r="AF26" s="33" t="n">
        <v>6</v>
      </c>
      <c r="AG26" s="33" t="n">
        <v>5</v>
      </c>
      <c r="AH26" s="33" t="n">
        <v>6</v>
      </c>
      <c r="AI26" s="33" t="n">
        <v>5</v>
      </c>
    </row>
    <row r="27" customFormat="false" ht="15" hidden="false" customHeight="true" outlineLevel="0" collapsed="false">
      <c r="A27" s="29" t="s">
        <v>126</v>
      </c>
      <c r="B27" s="30" t="s">
        <v>99</v>
      </c>
      <c r="C27" s="31" t="s">
        <v>85</v>
      </c>
      <c r="D27" s="30" t="s">
        <v>86</v>
      </c>
      <c r="E27" s="30" t="s">
        <v>87</v>
      </c>
      <c r="F27" s="30" t="n">
        <v>0</v>
      </c>
      <c r="G27" s="30" t="n">
        <v>0</v>
      </c>
      <c r="H27" s="30" t="n">
        <v>1</v>
      </c>
      <c r="I27" s="30" t="n">
        <v>0</v>
      </c>
      <c r="J27" s="30" t="n">
        <v>0</v>
      </c>
      <c r="K27" s="30" t="n">
        <v>2</v>
      </c>
      <c r="L27" s="30" t="n">
        <v>1</v>
      </c>
      <c r="M27" s="30" t="n">
        <v>5</v>
      </c>
      <c r="N27" s="30" t="n">
        <v>0</v>
      </c>
      <c r="O27" s="30" t="n">
        <v>4</v>
      </c>
      <c r="P27" s="30" t="n">
        <v>4</v>
      </c>
      <c r="Q27" s="30" t="n">
        <v>0</v>
      </c>
      <c r="R27" s="30" t="n">
        <v>1</v>
      </c>
      <c r="S27" s="30" t="n">
        <v>1</v>
      </c>
      <c r="T27" s="30" t="n">
        <v>0</v>
      </c>
      <c r="U27" s="30" t="n">
        <v>0</v>
      </c>
      <c r="V27" s="30" t="n">
        <v>0</v>
      </c>
      <c r="W27" s="30" t="n">
        <v>5</v>
      </c>
      <c r="X27" s="30" t="n">
        <v>3</v>
      </c>
      <c r="Y27" s="30" t="n">
        <v>4</v>
      </c>
      <c r="Z27" s="30" t="n">
        <v>3</v>
      </c>
      <c r="AA27" s="30" t="n">
        <v>0</v>
      </c>
      <c r="AB27" s="30" t="n">
        <v>0</v>
      </c>
      <c r="AC27" s="30" t="n">
        <v>2</v>
      </c>
      <c r="AD27" s="30" t="n">
        <v>0</v>
      </c>
      <c r="AE27" s="30" t="n">
        <v>3</v>
      </c>
      <c r="AF27" s="30" t="n">
        <v>1</v>
      </c>
      <c r="AG27" s="30" t="n">
        <v>1</v>
      </c>
      <c r="AH27" s="30" t="n">
        <v>3</v>
      </c>
      <c r="AI27" s="30" t="n">
        <v>2</v>
      </c>
    </row>
    <row r="28" customFormat="false" ht="15" hidden="false" customHeight="true" outlineLevel="0" collapsed="false">
      <c r="A28" s="32" t="s">
        <v>127</v>
      </c>
      <c r="B28" s="33" t="s">
        <v>106</v>
      </c>
      <c r="C28" s="34" t="s">
        <v>90</v>
      </c>
      <c r="D28" s="33" t="s">
        <v>117</v>
      </c>
      <c r="E28" s="33" t="s">
        <v>92</v>
      </c>
      <c r="F28" s="33" t="n">
        <v>5</v>
      </c>
      <c r="G28" s="33" t="n">
        <v>8</v>
      </c>
      <c r="H28" s="33" t="n">
        <v>3</v>
      </c>
      <c r="I28" s="33" t="n">
        <v>7</v>
      </c>
      <c r="J28" s="33" t="n">
        <v>7</v>
      </c>
      <c r="K28" s="33" t="n">
        <v>5</v>
      </c>
      <c r="L28" s="33" t="n">
        <v>6</v>
      </c>
      <c r="M28" s="33" t="n">
        <v>3</v>
      </c>
      <c r="N28" s="33" t="n">
        <v>7</v>
      </c>
      <c r="O28" s="33" t="n">
        <v>5</v>
      </c>
      <c r="P28" s="33" t="n">
        <v>4</v>
      </c>
      <c r="Q28" s="33" t="n">
        <v>8</v>
      </c>
      <c r="R28" s="33" t="n">
        <v>4</v>
      </c>
      <c r="S28" s="33" t="n">
        <v>3</v>
      </c>
      <c r="T28" s="33" t="n">
        <v>2</v>
      </c>
      <c r="U28" s="33" t="n">
        <v>7</v>
      </c>
      <c r="V28" s="33" t="n">
        <v>3</v>
      </c>
      <c r="W28" s="33" t="n">
        <v>9</v>
      </c>
      <c r="X28" s="33" t="n">
        <v>1</v>
      </c>
      <c r="Y28" s="33" t="n">
        <v>9</v>
      </c>
      <c r="Z28" s="33" t="n">
        <v>6</v>
      </c>
      <c r="AA28" s="33" t="n">
        <v>5</v>
      </c>
      <c r="AB28" s="33" t="n">
        <v>4</v>
      </c>
      <c r="AC28" s="33" t="n">
        <v>6</v>
      </c>
      <c r="AD28" s="33" t="n">
        <v>5</v>
      </c>
      <c r="AE28" s="33" t="n">
        <v>8</v>
      </c>
      <c r="AF28" s="33" t="n">
        <v>6</v>
      </c>
      <c r="AG28" s="33" t="n">
        <v>6</v>
      </c>
      <c r="AH28" s="33" t="n">
        <v>5</v>
      </c>
      <c r="AI28" s="33" t="n">
        <v>5</v>
      </c>
    </row>
    <row r="29" customFormat="false" ht="15" hidden="false" customHeight="true" outlineLevel="0" collapsed="false">
      <c r="A29" s="29" t="s">
        <v>128</v>
      </c>
      <c r="B29" s="30" t="s">
        <v>99</v>
      </c>
      <c r="C29" s="31" t="s">
        <v>85</v>
      </c>
      <c r="D29" s="30" t="s">
        <v>123</v>
      </c>
      <c r="E29" s="30" t="s">
        <v>124</v>
      </c>
      <c r="F29" s="30" t="n">
        <v>2</v>
      </c>
      <c r="G29" s="30" t="n">
        <v>0</v>
      </c>
      <c r="H29" s="30" t="n">
        <v>0</v>
      </c>
      <c r="I29" s="30" t="n">
        <v>3</v>
      </c>
      <c r="J29" s="30" t="n">
        <v>2</v>
      </c>
      <c r="K29" s="30" t="n">
        <v>1</v>
      </c>
      <c r="L29" s="30" t="n">
        <v>2</v>
      </c>
      <c r="M29" s="30" t="n">
        <v>2</v>
      </c>
      <c r="N29" s="30" t="n">
        <v>0</v>
      </c>
      <c r="O29" s="30" t="n">
        <v>0</v>
      </c>
      <c r="P29" s="30" t="n">
        <v>2</v>
      </c>
      <c r="Q29" s="30" t="n">
        <v>0</v>
      </c>
      <c r="R29" s="30" t="n">
        <v>2</v>
      </c>
      <c r="S29" s="30" t="n">
        <v>0</v>
      </c>
      <c r="T29" s="30" t="n">
        <v>4</v>
      </c>
      <c r="U29" s="30" t="n">
        <v>2</v>
      </c>
      <c r="V29" s="30" t="n">
        <v>2</v>
      </c>
      <c r="W29" s="30" t="n">
        <v>3</v>
      </c>
      <c r="X29" s="30" t="n">
        <v>5</v>
      </c>
      <c r="Y29" s="30" t="n">
        <v>4</v>
      </c>
      <c r="Z29" s="30" t="n">
        <v>0</v>
      </c>
      <c r="AA29" s="30" t="n">
        <v>0</v>
      </c>
      <c r="AB29" s="30" t="n">
        <v>0</v>
      </c>
      <c r="AC29" s="30" t="n">
        <v>2</v>
      </c>
      <c r="AD29" s="30" t="n">
        <v>3</v>
      </c>
      <c r="AE29" s="30" t="n">
        <v>0</v>
      </c>
      <c r="AF29" s="30" t="n">
        <v>2</v>
      </c>
      <c r="AG29" s="30" t="n">
        <v>0</v>
      </c>
      <c r="AH29" s="30" t="n">
        <v>0</v>
      </c>
      <c r="AI29" s="30" t="n">
        <v>0</v>
      </c>
    </row>
    <row r="30" customFormat="false" ht="15" hidden="false" customHeight="true" outlineLevel="0" collapsed="false">
      <c r="A30" s="32" t="s">
        <v>129</v>
      </c>
      <c r="B30" s="33" t="s">
        <v>99</v>
      </c>
      <c r="C30" s="31" t="s">
        <v>85</v>
      </c>
      <c r="D30" s="33" t="s">
        <v>112</v>
      </c>
      <c r="E30" s="33" t="s">
        <v>87</v>
      </c>
      <c r="F30" s="33" t="n">
        <v>0</v>
      </c>
      <c r="G30" s="33" t="n">
        <v>0</v>
      </c>
      <c r="H30" s="33" t="n">
        <v>0</v>
      </c>
      <c r="I30" s="33" t="n">
        <v>3</v>
      </c>
      <c r="J30" s="33" t="n">
        <v>0</v>
      </c>
      <c r="K30" s="33" t="n">
        <v>6</v>
      </c>
      <c r="L30" s="33" t="n">
        <v>1</v>
      </c>
      <c r="M30" s="33" t="n">
        <v>1</v>
      </c>
      <c r="N30" s="33" t="n">
        <v>0</v>
      </c>
      <c r="O30" s="33" t="n">
        <v>2</v>
      </c>
      <c r="P30" s="33" t="n">
        <v>0</v>
      </c>
      <c r="Q30" s="33" t="n">
        <v>1</v>
      </c>
      <c r="R30" s="33" t="n">
        <v>6</v>
      </c>
      <c r="S30" s="33" t="n">
        <v>0</v>
      </c>
      <c r="T30" s="33" t="n">
        <v>3</v>
      </c>
      <c r="U30" s="33" t="n">
        <v>0</v>
      </c>
      <c r="V30" s="33" t="n">
        <v>0</v>
      </c>
      <c r="W30" s="33" t="n">
        <v>4</v>
      </c>
      <c r="X30" s="33" t="n">
        <v>0</v>
      </c>
      <c r="Y30" s="33" t="n">
        <v>4</v>
      </c>
      <c r="Z30" s="33" t="n">
        <v>2</v>
      </c>
      <c r="AA30" s="33" t="n">
        <v>0</v>
      </c>
      <c r="AB30" s="33" t="n">
        <v>2</v>
      </c>
      <c r="AC30" s="33" t="n">
        <v>2</v>
      </c>
      <c r="AD30" s="33" t="n">
        <v>2</v>
      </c>
      <c r="AE30" s="33" t="n">
        <v>0</v>
      </c>
      <c r="AF30" s="33" t="n">
        <v>0</v>
      </c>
      <c r="AG30" s="33" t="n">
        <v>0</v>
      </c>
      <c r="AH30" s="33" t="n">
        <v>0</v>
      </c>
      <c r="AI30" s="33" t="n">
        <v>2</v>
      </c>
    </row>
    <row r="31" customFormat="false" ht="15" hidden="false" customHeight="true" outlineLevel="0" collapsed="false">
      <c r="A31" s="29" t="s">
        <v>130</v>
      </c>
      <c r="B31" s="30" t="s">
        <v>89</v>
      </c>
      <c r="C31" s="34" t="s">
        <v>90</v>
      </c>
      <c r="D31" s="30" t="s">
        <v>94</v>
      </c>
      <c r="E31" s="30" t="s">
        <v>92</v>
      </c>
      <c r="F31" s="30" t="n">
        <v>9</v>
      </c>
      <c r="G31" s="30" t="n">
        <v>6</v>
      </c>
      <c r="H31" s="30" t="n">
        <v>9</v>
      </c>
      <c r="I31" s="30" t="n">
        <v>10</v>
      </c>
      <c r="J31" s="30" t="n">
        <v>10</v>
      </c>
      <c r="K31" s="30" t="n">
        <v>11</v>
      </c>
      <c r="L31" s="30" t="n">
        <v>10</v>
      </c>
      <c r="M31" s="30" t="n">
        <v>9</v>
      </c>
      <c r="N31" s="30" t="n">
        <v>8</v>
      </c>
      <c r="O31" s="30" t="n">
        <v>5</v>
      </c>
      <c r="P31" s="30" t="n">
        <v>9</v>
      </c>
      <c r="Q31" s="30" t="n">
        <v>9</v>
      </c>
      <c r="R31" s="30" t="n">
        <v>9</v>
      </c>
      <c r="S31" s="30" t="n">
        <v>6</v>
      </c>
      <c r="T31" s="30" t="n">
        <v>6</v>
      </c>
      <c r="U31" s="30" t="n">
        <v>11</v>
      </c>
      <c r="V31" s="30" t="n">
        <v>8</v>
      </c>
      <c r="W31" s="30" t="n">
        <v>10</v>
      </c>
      <c r="X31" s="30" t="n">
        <v>9</v>
      </c>
      <c r="Y31" s="30" t="n">
        <v>9</v>
      </c>
      <c r="Z31" s="30" t="n">
        <v>10</v>
      </c>
      <c r="AA31" s="30" t="n">
        <v>7</v>
      </c>
      <c r="AB31" s="30" t="n">
        <v>9</v>
      </c>
      <c r="AC31" s="30" t="n">
        <v>8</v>
      </c>
      <c r="AD31" s="30" t="n">
        <v>8</v>
      </c>
      <c r="AE31" s="30" t="n">
        <v>8</v>
      </c>
      <c r="AF31" s="30" t="n">
        <v>9</v>
      </c>
      <c r="AG31" s="30" t="n">
        <v>8</v>
      </c>
      <c r="AH31" s="30" t="n">
        <v>11</v>
      </c>
      <c r="AI31" s="30" t="n">
        <v>7</v>
      </c>
    </row>
    <row r="32" customFormat="false" ht="15" hidden="false" customHeight="true" outlineLevel="0" collapsed="false">
      <c r="A32" s="32" t="s">
        <v>131</v>
      </c>
      <c r="B32" s="33" t="s">
        <v>106</v>
      </c>
      <c r="C32" s="34" t="s">
        <v>90</v>
      </c>
      <c r="D32" s="33" t="s">
        <v>132</v>
      </c>
      <c r="E32" s="33" t="s">
        <v>124</v>
      </c>
      <c r="F32" s="33" t="n">
        <v>6</v>
      </c>
      <c r="G32" s="33" t="n">
        <v>6</v>
      </c>
      <c r="H32" s="33" t="n">
        <v>9</v>
      </c>
      <c r="I32" s="33" t="n">
        <v>7</v>
      </c>
      <c r="J32" s="33" t="n">
        <v>9</v>
      </c>
      <c r="K32" s="33" t="n">
        <v>4</v>
      </c>
      <c r="L32" s="33" t="n">
        <v>7</v>
      </c>
      <c r="M32" s="33" t="n">
        <v>8</v>
      </c>
      <c r="N32" s="33" t="n">
        <v>7</v>
      </c>
      <c r="O32" s="33" t="n">
        <v>9</v>
      </c>
      <c r="P32" s="33" t="n">
        <v>5</v>
      </c>
      <c r="Q32" s="33" t="n">
        <v>9</v>
      </c>
      <c r="R32" s="33" t="n">
        <v>11</v>
      </c>
      <c r="S32" s="33" t="n">
        <v>6</v>
      </c>
      <c r="T32" s="33" t="n">
        <v>6</v>
      </c>
      <c r="U32" s="33" t="n">
        <v>9</v>
      </c>
      <c r="V32" s="33" t="n">
        <v>10</v>
      </c>
      <c r="W32" s="33" t="n">
        <v>5</v>
      </c>
      <c r="X32" s="33" t="n">
        <v>6</v>
      </c>
      <c r="Y32" s="33" t="n">
        <v>6</v>
      </c>
      <c r="Z32" s="33" t="n">
        <v>4</v>
      </c>
      <c r="AA32" s="33" t="n">
        <v>5</v>
      </c>
      <c r="AB32" s="33" t="n">
        <v>4</v>
      </c>
      <c r="AC32" s="33" t="n">
        <v>5</v>
      </c>
      <c r="AD32" s="33" t="n">
        <v>6</v>
      </c>
      <c r="AE32" s="33" t="n">
        <v>7</v>
      </c>
      <c r="AF32" s="33" t="n">
        <v>10</v>
      </c>
      <c r="AG32" s="33" t="n">
        <v>5</v>
      </c>
      <c r="AH32" s="33" t="n">
        <v>8</v>
      </c>
      <c r="AI32" s="33" t="n">
        <v>6</v>
      </c>
    </row>
    <row r="33" customFormat="false" ht="15" hidden="false" customHeight="true" outlineLevel="0" collapsed="false">
      <c r="A33" s="29" t="s">
        <v>133</v>
      </c>
      <c r="B33" s="30" t="s">
        <v>99</v>
      </c>
      <c r="C33" s="31" t="s">
        <v>85</v>
      </c>
      <c r="D33" s="30" t="s">
        <v>91</v>
      </c>
      <c r="E33" s="30" t="s">
        <v>92</v>
      </c>
      <c r="F33" s="30" t="n">
        <v>9</v>
      </c>
      <c r="G33" s="30" t="n">
        <v>11</v>
      </c>
      <c r="H33" s="30" t="n">
        <v>7</v>
      </c>
      <c r="I33" s="30" t="n">
        <v>10</v>
      </c>
      <c r="J33" s="30" t="n">
        <v>10</v>
      </c>
      <c r="K33" s="30" t="n">
        <v>10</v>
      </c>
      <c r="L33" s="30" t="n">
        <v>10</v>
      </c>
      <c r="M33" s="30" t="n">
        <v>14</v>
      </c>
      <c r="N33" s="30" t="n">
        <v>8</v>
      </c>
      <c r="O33" s="30" t="n">
        <v>8</v>
      </c>
      <c r="P33" s="30" t="n">
        <v>8</v>
      </c>
      <c r="Q33" s="30" t="n">
        <v>8</v>
      </c>
      <c r="R33" s="30" t="n">
        <v>8</v>
      </c>
      <c r="S33" s="30" t="n">
        <v>12</v>
      </c>
      <c r="T33" s="30" t="n">
        <v>12</v>
      </c>
      <c r="U33" s="30" t="n">
        <v>8</v>
      </c>
      <c r="V33" s="30" t="n">
        <v>8</v>
      </c>
      <c r="W33" s="30" t="n">
        <v>10</v>
      </c>
      <c r="X33" s="30" t="n">
        <v>8</v>
      </c>
      <c r="Y33" s="30" t="n">
        <v>11</v>
      </c>
      <c r="Z33" s="30" t="n">
        <v>10</v>
      </c>
      <c r="AA33" s="30" t="n">
        <v>6</v>
      </c>
      <c r="AB33" s="30" t="n">
        <v>13</v>
      </c>
      <c r="AC33" s="30" t="n">
        <v>13</v>
      </c>
      <c r="AD33" s="30" t="n">
        <v>8</v>
      </c>
      <c r="AE33" s="30" t="n">
        <v>9</v>
      </c>
      <c r="AF33" s="30" t="n">
        <v>10</v>
      </c>
      <c r="AG33" s="30" t="n">
        <v>10</v>
      </c>
      <c r="AH33" s="30" t="n">
        <v>11</v>
      </c>
      <c r="AI33" s="30" t="n">
        <v>14</v>
      </c>
    </row>
    <row r="34" customFormat="false" ht="15" hidden="false" customHeight="true" outlineLevel="0" collapsed="false">
      <c r="A34" s="32" t="s">
        <v>134</v>
      </c>
      <c r="B34" s="33" t="s">
        <v>84</v>
      </c>
      <c r="C34" s="31" t="s">
        <v>85</v>
      </c>
      <c r="D34" s="33" t="s">
        <v>117</v>
      </c>
      <c r="E34" s="33" t="s">
        <v>92</v>
      </c>
      <c r="F34" s="33" t="n">
        <v>11</v>
      </c>
      <c r="G34" s="33" t="n">
        <v>10</v>
      </c>
      <c r="H34" s="33" t="n">
        <v>9</v>
      </c>
      <c r="I34" s="33" t="n">
        <v>10</v>
      </c>
      <c r="J34" s="33" t="n">
        <v>11</v>
      </c>
      <c r="K34" s="33" t="n">
        <v>15</v>
      </c>
      <c r="L34" s="33" t="n">
        <v>10</v>
      </c>
      <c r="M34" s="33" t="n">
        <v>12</v>
      </c>
      <c r="N34" s="33" t="n">
        <v>11</v>
      </c>
      <c r="O34" s="33" t="n">
        <v>14</v>
      </c>
      <c r="P34" s="33" t="n">
        <v>17</v>
      </c>
      <c r="Q34" s="33" t="n">
        <v>10</v>
      </c>
      <c r="R34" s="33" t="n">
        <v>11</v>
      </c>
      <c r="S34" s="33" t="n">
        <v>14</v>
      </c>
      <c r="T34" s="33" t="n">
        <v>13</v>
      </c>
      <c r="U34" s="33" t="n">
        <v>15</v>
      </c>
      <c r="V34" s="33" t="n">
        <v>13</v>
      </c>
      <c r="W34" s="33" t="n">
        <v>11</v>
      </c>
      <c r="X34" s="33" t="n">
        <v>13</v>
      </c>
      <c r="Y34" s="33" t="n">
        <v>14</v>
      </c>
      <c r="Z34" s="33" t="n">
        <v>13</v>
      </c>
      <c r="AA34" s="33" t="n">
        <v>13</v>
      </c>
      <c r="AB34" s="33" t="n">
        <v>14</v>
      </c>
      <c r="AC34" s="33" t="n">
        <v>14</v>
      </c>
      <c r="AD34" s="33" t="n">
        <v>14</v>
      </c>
      <c r="AE34" s="33" t="n">
        <v>13</v>
      </c>
      <c r="AF34" s="33" t="n">
        <v>11</v>
      </c>
      <c r="AG34" s="33" t="n">
        <v>12</v>
      </c>
      <c r="AH34" s="33" t="n">
        <v>14</v>
      </c>
      <c r="AI34" s="33" t="n">
        <v>10</v>
      </c>
    </row>
    <row r="35" customFormat="false" ht="15" hidden="false" customHeight="true" outlineLevel="0" collapsed="false">
      <c r="A35" s="29" t="s">
        <v>135</v>
      </c>
      <c r="B35" s="30" t="s">
        <v>120</v>
      </c>
      <c r="C35" s="35" t="s">
        <v>103</v>
      </c>
      <c r="D35" s="30" t="s">
        <v>123</v>
      </c>
      <c r="E35" s="30" t="s">
        <v>124</v>
      </c>
      <c r="F35" s="30" t="n">
        <v>4</v>
      </c>
      <c r="G35" s="30" t="n">
        <v>3</v>
      </c>
      <c r="H35" s="30" t="n">
        <v>4</v>
      </c>
      <c r="I35" s="30" t="n">
        <v>6</v>
      </c>
      <c r="J35" s="30" t="n">
        <v>4</v>
      </c>
      <c r="K35" s="30" t="n">
        <v>4</v>
      </c>
      <c r="L35" s="30" t="n">
        <v>1</v>
      </c>
      <c r="M35" s="30" t="n">
        <v>5</v>
      </c>
      <c r="N35" s="30" t="n">
        <v>5</v>
      </c>
      <c r="O35" s="30" t="n">
        <v>8</v>
      </c>
      <c r="P35" s="30" t="n">
        <v>3</v>
      </c>
      <c r="Q35" s="30" t="n">
        <v>4</v>
      </c>
      <c r="R35" s="30" t="n">
        <v>4</v>
      </c>
      <c r="S35" s="30" t="n">
        <v>7</v>
      </c>
      <c r="T35" s="30" t="n">
        <v>3</v>
      </c>
      <c r="U35" s="30" t="n">
        <v>4</v>
      </c>
      <c r="V35" s="30" t="n">
        <v>5</v>
      </c>
      <c r="W35" s="30" t="n">
        <v>4</v>
      </c>
      <c r="X35" s="30" t="n">
        <v>3</v>
      </c>
      <c r="Y35" s="30" t="n">
        <v>4</v>
      </c>
      <c r="Z35" s="30" t="n">
        <v>6</v>
      </c>
      <c r="AA35" s="30" t="n">
        <v>1</v>
      </c>
      <c r="AB35" s="30" t="n">
        <v>4</v>
      </c>
      <c r="AC35" s="30" t="n">
        <v>2</v>
      </c>
      <c r="AD35" s="30" t="n">
        <v>6</v>
      </c>
      <c r="AE35" s="30" t="n">
        <v>0</v>
      </c>
      <c r="AF35" s="30" t="n">
        <v>2</v>
      </c>
      <c r="AG35" s="30" t="n">
        <v>4</v>
      </c>
      <c r="AH35" s="30" t="n">
        <v>7</v>
      </c>
      <c r="AI35" s="30" t="n">
        <v>3</v>
      </c>
    </row>
    <row r="36" customFormat="false" ht="15" hidden="false" customHeight="true" outlineLevel="0" collapsed="false">
      <c r="A36" s="32" t="s">
        <v>136</v>
      </c>
      <c r="B36" s="33" t="s">
        <v>102</v>
      </c>
      <c r="C36" s="35" t="s">
        <v>103</v>
      </c>
      <c r="D36" s="33" t="s">
        <v>123</v>
      </c>
      <c r="E36" s="33" t="s">
        <v>124</v>
      </c>
      <c r="F36" s="33" t="n">
        <v>9</v>
      </c>
      <c r="G36" s="33" t="n">
        <v>14</v>
      </c>
      <c r="H36" s="33" t="n">
        <v>8</v>
      </c>
      <c r="I36" s="33" t="n">
        <v>6</v>
      </c>
      <c r="J36" s="33" t="n">
        <v>11</v>
      </c>
      <c r="K36" s="33" t="n">
        <v>9</v>
      </c>
      <c r="L36" s="33" t="n">
        <v>8</v>
      </c>
      <c r="M36" s="33" t="n">
        <v>12</v>
      </c>
      <c r="N36" s="33" t="n">
        <v>11</v>
      </c>
      <c r="O36" s="33" t="n">
        <v>9</v>
      </c>
      <c r="P36" s="33" t="n">
        <v>8</v>
      </c>
      <c r="Q36" s="33" t="n">
        <v>12</v>
      </c>
      <c r="R36" s="33" t="n">
        <v>12</v>
      </c>
      <c r="S36" s="33" t="n">
        <v>10</v>
      </c>
      <c r="T36" s="33" t="n">
        <v>14</v>
      </c>
      <c r="U36" s="33" t="n">
        <v>8</v>
      </c>
      <c r="V36" s="33" t="n">
        <v>7</v>
      </c>
      <c r="W36" s="33" t="n">
        <v>9</v>
      </c>
      <c r="X36" s="33" t="n">
        <v>10</v>
      </c>
      <c r="Y36" s="33" t="n">
        <v>11</v>
      </c>
      <c r="Z36" s="33" t="n">
        <v>10</v>
      </c>
      <c r="AA36" s="33" t="n">
        <v>11</v>
      </c>
      <c r="AB36" s="33" t="n">
        <v>8</v>
      </c>
      <c r="AC36" s="33" t="n">
        <v>13</v>
      </c>
      <c r="AD36" s="33" t="n">
        <v>10</v>
      </c>
      <c r="AE36" s="33" t="n">
        <v>13</v>
      </c>
      <c r="AF36" s="33" t="n">
        <v>11</v>
      </c>
      <c r="AG36" s="33" t="n">
        <v>11</v>
      </c>
      <c r="AH36" s="33" t="n">
        <v>12</v>
      </c>
      <c r="AI36" s="33" t="n">
        <v>11</v>
      </c>
    </row>
    <row r="37" customFormat="false" ht="15" hidden="false" customHeight="true" outlineLevel="0" collapsed="false">
      <c r="A37" s="29" t="s">
        <v>137</v>
      </c>
      <c r="B37" s="30" t="s">
        <v>99</v>
      </c>
      <c r="C37" s="31" t="s">
        <v>85</v>
      </c>
      <c r="D37" s="30" t="s">
        <v>91</v>
      </c>
      <c r="E37" s="30" t="s">
        <v>92</v>
      </c>
      <c r="F37" s="30" t="n">
        <v>9</v>
      </c>
      <c r="G37" s="30" t="n">
        <v>10</v>
      </c>
      <c r="H37" s="30" t="n">
        <v>8</v>
      </c>
      <c r="I37" s="30" t="n">
        <v>9</v>
      </c>
      <c r="J37" s="30" t="n">
        <v>7</v>
      </c>
      <c r="K37" s="30" t="n">
        <v>10</v>
      </c>
      <c r="L37" s="30" t="n">
        <v>6</v>
      </c>
      <c r="M37" s="30" t="n">
        <v>11</v>
      </c>
      <c r="N37" s="30" t="n">
        <v>7</v>
      </c>
      <c r="O37" s="30" t="n">
        <v>5</v>
      </c>
      <c r="P37" s="30" t="n">
        <v>8</v>
      </c>
      <c r="Q37" s="30" t="n">
        <v>6</v>
      </c>
      <c r="R37" s="30" t="n">
        <v>9</v>
      </c>
      <c r="S37" s="30" t="n">
        <v>6</v>
      </c>
      <c r="T37" s="30" t="n">
        <v>7</v>
      </c>
      <c r="U37" s="30" t="n">
        <v>4</v>
      </c>
      <c r="V37" s="30" t="n">
        <v>7</v>
      </c>
      <c r="W37" s="30" t="n">
        <v>3</v>
      </c>
      <c r="X37" s="30" t="n">
        <v>4</v>
      </c>
      <c r="Y37" s="30" t="n">
        <v>9</v>
      </c>
      <c r="Z37" s="30" t="n">
        <v>9</v>
      </c>
      <c r="AA37" s="30" t="n">
        <v>8</v>
      </c>
      <c r="AB37" s="30" t="n">
        <v>6</v>
      </c>
      <c r="AC37" s="30" t="n">
        <v>7</v>
      </c>
      <c r="AD37" s="30" t="n">
        <v>7</v>
      </c>
      <c r="AE37" s="30" t="n">
        <v>5</v>
      </c>
      <c r="AF37" s="30" t="n">
        <v>11</v>
      </c>
      <c r="AG37" s="30" t="n">
        <v>9</v>
      </c>
      <c r="AH37" s="30" t="n">
        <v>7</v>
      </c>
      <c r="AI37" s="30" t="n">
        <v>8</v>
      </c>
    </row>
    <row r="38" customFormat="false" ht="15" hidden="false" customHeight="true" outlineLevel="0" collapsed="false">
      <c r="A38" s="32" t="s">
        <v>138</v>
      </c>
      <c r="B38" s="33" t="s">
        <v>106</v>
      </c>
      <c r="C38" s="34" t="s">
        <v>90</v>
      </c>
      <c r="D38" s="33" t="s">
        <v>117</v>
      </c>
      <c r="E38" s="33" t="s">
        <v>92</v>
      </c>
      <c r="F38" s="33" t="n">
        <v>9</v>
      </c>
      <c r="G38" s="33" t="n">
        <v>4</v>
      </c>
      <c r="H38" s="33" t="n">
        <v>8</v>
      </c>
      <c r="I38" s="33" t="n">
        <v>7</v>
      </c>
      <c r="J38" s="33" t="n">
        <v>6</v>
      </c>
      <c r="K38" s="33" t="n">
        <v>8</v>
      </c>
      <c r="L38" s="33" t="n">
        <v>12</v>
      </c>
      <c r="M38" s="33" t="n">
        <v>10</v>
      </c>
      <c r="N38" s="33" t="n">
        <v>7</v>
      </c>
      <c r="O38" s="33" t="n">
        <v>10</v>
      </c>
      <c r="P38" s="33" t="n">
        <v>11</v>
      </c>
      <c r="Q38" s="33" t="n">
        <v>10</v>
      </c>
      <c r="R38" s="33" t="n">
        <v>9</v>
      </c>
      <c r="S38" s="33" t="n">
        <v>7</v>
      </c>
      <c r="T38" s="33" t="n">
        <v>10</v>
      </c>
      <c r="U38" s="33" t="n">
        <v>9</v>
      </c>
      <c r="V38" s="33" t="n">
        <v>10</v>
      </c>
      <c r="W38" s="33" t="n">
        <v>10</v>
      </c>
      <c r="X38" s="33" t="n">
        <v>11</v>
      </c>
      <c r="Y38" s="33" t="n">
        <v>7</v>
      </c>
      <c r="Z38" s="33" t="n">
        <v>11</v>
      </c>
      <c r="AA38" s="33" t="n">
        <v>9</v>
      </c>
      <c r="AB38" s="33" t="n">
        <v>13</v>
      </c>
      <c r="AC38" s="33" t="n">
        <v>7</v>
      </c>
      <c r="AD38" s="33" t="n">
        <v>12</v>
      </c>
      <c r="AE38" s="33" t="n">
        <v>9</v>
      </c>
      <c r="AF38" s="33" t="n">
        <v>7</v>
      </c>
      <c r="AG38" s="33" t="n">
        <v>8</v>
      </c>
      <c r="AH38" s="33" t="n">
        <v>8</v>
      </c>
      <c r="AI38" s="33" t="n">
        <v>9</v>
      </c>
    </row>
    <row r="39" customFormat="false" ht="15" hidden="false" customHeight="true" outlineLevel="0" collapsed="false">
      <c r="A39" s="29" t="s">
        <v>139</v>
      </c>
      <c r="B39" s="30" t="s">
        <v>89</v>
      </c>
      <c r="C39" s="34" t="s">
        <v>90</v>
      </c>
      <c r="D39" s="30" t="s">
        <v>123</v>
      </c>
      <c r="E39" s="30" t="s">
        <v>124</v>
      </c>
      <c r="F39" s="30" t="n">
        <v>9</v>
      </c>
      <c r="G39" s="30" t="n">
        <v>6</v>
      </c>
      <c r="H39" s="30" t="n">
        <v>7</v>
      </c>
      <c r="I39" s="30" t="n">
        <v>12</v>
      </c>
      <c r="J39" s="30" t="n">
        <v>11</v>
      </c>
      <c r="K39" s="30" t="n">
        <v>8</v>
      </c>
      <c r="L39" s="30" t="n">
        <v>8</v>
      </c>
      <c r="M39" s="30" t="n">
        <v>8</v>
      </c>
      <c r="N39" s="30" t="n">
        <v>9</v>
      </c>
      <c r="O39" s="30" t="n">
        <v>5</v>
      </c>
      <c r="P39" s="30" t="n">
        <v>7</v>
      </c>
      <c r="Q39" s="30" t="n">
        <v>4</v>
      </c>
      <c r="R39" s="30" t="n">
        <v>8</v>
      </c>
      <c r="S39" s="30" t="n">
        <v>9</v>
      </c>
      <c r="T39" s="30" t="n">
        <v>7</v>
      </c>
      <c r="U39" s="30" t="n">
        <v>11</v>
      </c>
      <c r="V39" s="30" t="n">
        <v>5</v>
      </c>
      <c r="W39" s="30" t="n">
        <v>5</v>
      </c>
      <c r="X39" s="30" t="n">
        <v>8</v>
      </c>
      <c r="Y39" s="30" t="n">
        <v>10</v>
      </c>
      <c r="Z39" s="30" t="n">
        <v>11</v>
      </c>
      <c r="AA39" s="30" t="n">
        <v>7</v>
      </c>
      <c r="AB39" s="30" t="n">
        <v>10</v>
      </c>
      <c r="AC39" s="30" t="n">
        <v>7</v>
      </c>
      <c r="AD39" s="30" t="n">
        <v>7</v>
      </c>
      <c r="AE39" s="30" t="n">
        <v>9</v>
      </c>
      <c r="AF39" s="30" t="n">
        <v>9</v>
      </c>
      <c r="AG39" s="30" t="n">
        <v>4</v>
      </c>
      <c r="AH39" s="30" t="n">
        <v>10</v>
      </c>
      <c r="AI39" s="30" t="n">
        <v>10</v>
      </c>
    </row>
    <row r="40" customFormat="false" ht="15" hidden="false" customHeight="true" outlineLevel="0" collapsed="false">
      <c r="A40" s="32" t="s">
        <v>140</v>
      </c>
      <c r="B40" s="33" t="s">
        <v>84</v>
      </c>
      <c r="C40" s="31" t="s">
        <v>85</v>
      </c>
      <c r="D40" s="33" t="s">
        <v>94</v>
      </c>
      <c r="E40" s="33" t="s">
        <v>92</v>
      </c>
      <c r="F40" s="33" t="n">
        <v>5</v>
      </c>
      <c r="G40" s="33" t="n">
        <v>7</v>
      </c>
      <c r="H40" s="33" t="n">
        <v>7</v>
      </c>
      <c r="I40" s="33" t="n">
        <v>7</v>
      </c>
      <c r="J40" s="33" t="n">
        <v>5</v>
      </c>
      <c r="K40" s="33" t="n">
        <v>5</v>
      </c>
      <c r="L40" s="33" t="n">
        <v>6</v>
      </c>
      <c r="M40" s="33" t="n">
        <v>9</v>
      </c>
      <c r="N40" s="33" t="n">
        <v>8</v>
      </c>
      <c r="O40" s="33" t="n">
        <v>6</v>
      </c>
      <c r="P40" s="33" t="n">
        <v>8</v>
      </c>
      <c r="Q40" s="33" t="n">
        <v>1</v>
      </c>
      <c r="R40" s="33" t="n">
        <v>9</v>
      </c>
      <c r="S40" s="33" t="n">
        <v>3</v>
      </c>
      <c r="T40" s="33" t="n">
        <v>6</v>
      </c>
      <c r="U40" s="33" t="n">
        <v>4</v>
      </c>
      <c r="V40" s="33" t="n">
        <v>4</v>
      </c>
      <c r="W40" s="33" t="n">
        <v>9</v>
      </c>
      <c r="X40" s="33" t="n">
        <v>6</v>
      </c>
      <c r="Y40" s="33" t="n">
        <v>7</v>
      </c>
      <c r="Z40" s="33" t="n">
        <v>6</v>
      </c>
      <c r="AA40" s="33" t="n">
        <v>7</v>
      </c>
      <c r="AB40" s="33" t="n">
        <v>7</v>
      </c>
      <c r="AC40" s="33" t="n">
        <v>4</v>
      </c>
      <c r="AD40" s="33" t="n">
        <v>8</v>
      </c>
      <c r="AE40" s="33" t="n">
        <v>6</v>
      </c>
      <c r="AF40" s="33" t="n">
        <v>3</v>
      </c>
      <c r="AG40" s="33" t="n">
        <v>6</v>
      </c>
      <c r="AH40" s="33" t="n">
        <v>10</v>
      </c>
      <c r="AI40" s="33" t="n">
        <v>8</v>
      </c>
    </row>
    <row r="41" customFormat="false" ht="15" hidden="false" customHeight="true" outlineLevel="0" collapsed="false">
      <c r="A41" s="29" t="s">
        <v>141</v>
      </c>
      <c r="B41" s="30" t="s">
        <v>89</v>
      </c>
      <c r="C41" s="34" t="s">
        <v>90</v>
      </c>
      <c r="D41" s="30" t="s">
        <v>142</v>
      </c>
      <c r="E41" s="30" t="s">
        <v>124</v>
      </c>
      <c r="F41" s="30" t="n">
        <v>2</v>
      </c>
      <c r="G41" s="30" t="n">
        <v>2</v>
      </c>
      <c r="H41" s="30" t="n">
        <v>2</v>
      </c>
      <c r="I41" s="30" t="n">
        <v>7</v>
      </c>
      <c r="J41" s="30" t="n">
        <v>3</v>
      </c>
      <c r="K41" s="30" t="n">
        <v>3</v>
      </c>
      <c r="L41" s="30" t="n">
        <v>5</v>
      </c>
      <c r="M41" s="30" t="n">
        <v>3</v>
      </c>
      <c r="N41" s="30" t="n">
        <v>2</v>
      </c>
      <c r="O41" s="30" t="n">
        <v>2</v>
      </c>
      <c r="P41" s="30" t="n">
        <v>2</v>
      </c>
      <c r="Q41" s="30" t="n">
        <v>2</v>
      </c>
      <c r="R41" s="30" t="n">
        <v>4</v>
      </c>
      <c r="S41" s="30" t="n">
        <v>3</v>
      </c>
      <c r="T41" s="30" t="n">
        <v>4</v>
      </c>
      <c r="U41" s="30" t="n">
        <v>2</v>
      </c>
      <c r="V41" s="30" t="n">
        <v>3</v>
      </c>
      <c r="W41" s="30" t="n">
        <v>0</v>
      </c>
      <c r="X41" s="30" t="n">
        <v>4</v>
      </c>
      <c r="Y41" s="30" t="n">
        <v>3</v>
      </c>
      <c r="Z41" s="30" t="n">
        <v>4</v>
      </c>
      <c r="AA41" s="30" t="n">
        <v>0</v>
      </c>
      <c r="AB41" s="30" t="n">
        <v>7</v>
      </c>
      <c r="AC41" s="30" t="n">
        <v>2</v>
      </c>
      <c r="AD41" s="30" t="n">
        <v>5</v>
      </c>
      <c r="AE41" s="30" t="n">
        <v>0</v>
      </c>
      <c r="AF41" s="30" t="n">
        <v>4</v>
      </c>
      <c r="AG41" s="30" t="n">
        <v>0</v>
      </c>
      <c r="AH41" s="30" t="n">
        <v>1</v>
      </c>
      <c r="AI41" s="30" t="n">
        <v>6</v>
      </c>
    </row>
    <row r="42" customFormat="false" ht="15" hidden="false" customHeight="true" outlineLevel="0" collapsed="false">
      <c r="A42" s="32" t="s">
        <v>143</v>
      </c>
      <c r="B42" s="33" t="s">
        <v>89</v>
      </c>
      <c r="C42" s="34" t="s">
        <v>90</v>
      </c>
      <c r="D42" s="33" t="s">
        <v>91</v>
      </c>
      <c r="E42" s="33" t="s">
        <v>92</v>
      </c>
      <c r="F42" s="33" t="n">
        <v>0</v>
      </c>
      <c r="G42" s="33" t="n">
        <v>1</v>
      </c>
      <c r="H42" s="33" t="n">
        <v>2</v>
      </c>
      <c r="I42" s="33" t="n">
        <v>1</v>
      </c>
      <c r="J42" s="33" t="n">
        <v>1</v>
      </c>
      <c r="K42" s="33" t="n">
        <v>1</v>
      </c>
      <c r="L42" s="33" t="n">
        <v>5</v>
      </c>
      <c r="M42" s="33" t="n">
        <v>0</v>
      </c>
      <c r="N42" s="33" t="n">
        <v>1</v>
      </c>
      <c r="O42" s="33" t="n">
        <v>3</v>
      </c>
      <c r="P42" s="33" t="n">
        <v>3</v>
      </c>
      <c r="Q42" s="33" t="n">
        <v>3</v>
      </c>
      <c r="R42" s="33" t="n">
        <v>2</v>
      </c>
      <c r="S42" s="33" t="n">
        <v>0</v>
      </c>
      <c r="T42" s="33" t="n">
        <v>4</v>
      </c>
      <c r="U42" s="33" t="n">
        <v>0</v>
      </c>
      <c r="V42" s="33" t="n">
        <v>1</v>
      </c>
      <c r="W42" s="33" t="n">
        <v>0</v>
      </c>
      <c r="X42" s="33" t="n">
        <v>0</v>
      </c>
      <c r="Y42" s="33" t="n">
        <v>1</v>
      </c>
      <c r="Z42" s="33" t="n">
        <v>1</v>
      </c>
      <c r="AA42" s="33" t="n">
        <v>1</v>
      </c>
      <c r="AB42" s="33" t="n">
        <v>4</v>
      </c>
      <c r="AC42" s="33" t="n">
        <v>1</v>
      </c>
      <c r="AD42" s="33" t="n">
        <v>0</v>
      </c>
      <c r="AE42" s="33" t="n">
        <v>2</v>
      </c>
      <c r="AF42" s="33" t="n">
        <v>3</v>
      </c>
      <c r="AG42" s="33" t="n">
        <v>0</v>
      </c>
      <c r="AH42" s="33" t="n">
        <v>2</v>
      </c>
      <c r="AI42" s="33" t="n">
        <v>2</v>
      </c>
    </row>
    <row r="43" customFormat="false" ht="15" hidden="false" customHeight="true" outlineLevel="0" collapsed="false">
      <c r="A43" s="29" t="s">
        <v>144</v>
      </c>
      <c r="B43" s="30" t="s">
        <v>99</v>
      </c>
      <c r="C43" s="31" t="s">
        <v>85</v>
      </c>
      <c r="D43" s="30" t="s">
        <v>96</v>
      </c>
      <c r="E43" s="30" t="s">
        <v>87</v>
      </c>
      <c r="F43" s="30" t="n">
        <v>1</v>
      </c>
      <c r="G43" s="30" t="n">
        <v>4</v>
      </c>
      <c r="H43" s="30" t="n">
        <v>1</v>
      </c>
      <c r="I43" s="30" t="n">
        <v>2</v>
      </c>
      <c r="J43" s="30" t="n">
        <v>1</v>
      </c>
      <c r="K43" s="30" t="n">
        <v>2</v>
      </c>
      <c r="L43" s="30" t="n">
        <v>0</v>
      </c>
      <c r="M43" s="30" t="n">
        <v>0</v>
      </c>
      <c r="N43" s="30" t="n">
        <v>5</v>
      </c>
      <c r="O43" s="30" t="n">
        <v>0</v>
      </c>
      <c r="P43" s="30" t="n">
        <v>0</v>
      </c>
      <c r="Q43" s="30" t="n">
        <v>0</v>
      </c>
      <c r="R43" s="30" t="n">
        <v>0</v>
      </c>
      <c r="S43" s="30" t="n">
        <v>0</v>
      </c>
      <c r="T43" s="30" t="n">
        <v>5</v>
      </c>
      <c r="U43" s="30" t="n">
        <v>4</v>
      </c>
      <c r="V43" s="30" t="n">
        <v>0</v>
      </c>
      <c r="W43" s="30" t="n">
        <v>6</v>
      </c>
      <c r="X43" s="30" t="n">
        <v>3</v>
      </c>
      <c r="Y43" s="30" t="n">
        <v>1</v>
      </c>
      <c r="Z43" s="30" t="n">
        <v>0</v>
      </c>
      <c r="AA43" s="30" t="n">
        <v>6</v>
      </c>
      <c r="AB43" s="30" t="n">
        <v>0</v>
      </c>
      <c r="AC43" s="30" t="n">
        <v>0</v>
      </c>
      <c r="AD43" s="30" t="n">
        <v>4</v>
      </c>
      <c r="AE43" s="30" t="n">
        <v>6</v>
      </c>
      <c r="AF43" s="30" t="n">
        <v>4</v>
      </c>
      <c r="AG43" s="30" t="n">
        <v>3</v>
      </c>
      <c r="AH43" s="30" t="n">
        <v>3</v>
      </c>
      <c r="AI43" s="30" t="n">
        <v>3</v>
      </c>
    </row>
    <row r="44" customFormat="false" ht="15" hidden="false" customHeight="true" outlineLevel="0" collapsed="false">
      <c r="A44" s="32" t="s">
        <v>145</v>
      </c>
      <c r="B44" s="33" t="s">
        <v>99</v>
      </c>
      <c r="C44" s="31" t="s">
        <v>85</v>
      </c>
      <c r="D44" s="33" t="s">
        <v>91</v>
      </c>
      <c r="E44" s="33" t="s">
        <v>92</v>
      </c>
      <c r="F44" s="33" t="n">
        <v>5</v>
      </c>
      <c r="G44" s="33" t="n">
        <v>4</v>
      </c>
      <c r="H44" s="33" t="n">
        <v>4</v>
      </c>
      <c r="I44" s="33" t="n">
        <v>3</v>
      </c>
      <c r="J44" s="33" t="n">
        <v>2</v>
      </c>
      <c r="K44" s="33" t="n">
        <v>3</v>
      </c>
      <c r="L44" s="33" t="n">
        <v>0</v>
      </c>
      <c r="M44" s="33" t="n">
        <v>3</v>
      </c>
      <c r="N44" s="33" t="n">
        <v>2</v>
      </c>
      <c r="O44" s="33" t="n">
        <v>1</v>
      </c>
      <c r="P44" s="33" t="n">
        <v>4</v>
      </c>
      <c r="Q44" s="33" t="n">
        <v>6</v>
      </c>
      <c r="R44" s="33" t="n">
        <v>5</v>
      </c>
      <c r="S44" s="33" t="n">
        <v>0</v>
      </c>
      <c r="T44" s="33" t="n">
        <v>2</v>
      </c>
      <c r="U44" s="33" t="n">
        <v>5</v>
      </c>
      <c r="V44" s="33" t="n">
        <v>2</v>
      </c>
      <c r="W44" s="33" t="n">
        <v>3</v>
      </c>
      <c r="X44" s="33" t="n">
        <v>5</v>
      </c>
      <c r="Y44" s="33" t="n">
        <v>2</v>
      </c>
      <c r="Z44" s="33" t="n">
        <v>4</v>
      </c>
      <c r="AA44" s="33" t="n">
        <v>1</v>
      </c>
      <c r="AB44" s="33" t="n">
        <v>2</v>
      </c>
      <c r="AC44" s="33" t="n">
        <v>4</v>
      </c>
      <c r="AD44" s="33" t="n">
        <v>0</v>
      </c>
      <c r="AE44" s="33" t="n">
        <v>4</v>
      </c>
      <c r="AF44" s="33" t="n">
        <v>3</v>
      </c>
      <c r="AG44" s="33" t="n">
        <v>5</v>
      </c>
      <c r="AH44" s="33" t="n">
        <v>4</v>
      </c>
      <c r="AI44" s="33" t="n">
        <v>6</v>
      </c>
    </row>
    <row r="45" customFormat="false" ht="15" hidden="false" customHeight="true" outlineLevel="0" collapsed="false">
      <c r="A45" s="29" t="s">
        <v>146</v>
      </c>
      <c r="B45" s="30" t="s">
        <v>99</v>
      </c>
      <c r="C45" s="31" t="s">
        <v>85</v>
      </c>
      <c r="D45" s="30" t="s">
        <v>96</v>
      </c>
      <c r="E45" s="30" t="s">
        <v>87</v>
      </c>
      <c r="F45" s="30" t="n">
        <v>11</v>
      </c>
      <c r="G45" s="30" t="n">
        <v>10</v>
      </c>
      <c r="H45" s="30" t="n">
        <v>11</v>
      </c>
      <c r="I45" s="30" t="n">
        <v>12</v>
      </c>
      <c r="J45" s="30" t="n">
        <v>11</v>
      </c>
      <c r="K45" s="30" t="n">
        <v>11</v>
      </c>
      <c r="L45" s="30" t="n">
        <v>9</v>
      </c>
      <c r="M45" s="30" t="n">
        <v>9</v>
      </c>
      <c r="N45" s="30" t="n">
        <v>8</v>
      </c>
      <c r="O45" s="30" t="n">
        <v>14</v>
      </c>
      <c r="P45" s="30" t="n">
        <v>8</v>
      </c>
      <c r="Q45" s="30" t="n">
        <v>9</v>
      </c>
      <c r="R45" s="30" t="n">
        <v>9</v>
      </c>
      <c r="S45" s="30" t="n">
        <v>12</v>
      </c>
      <c r="T45" s="30" t="n">
        <v>10</v>
      </c>
      <c r="U45" s="30" t="n">
        <v>13</v>
      </c>
      <c r="V45" s="30" t="n">
        <v>9</v>
      </c>
      <c r="W45" s="30" t="n">
        <v>11</v>
      </c>
      <c r="X45" s="30" t="n">
        <v>9</v>
      </c>
      <c r="Y45" s="30" t="n">
        <v>15</v>
      </c>
      <c r="Z45" s="30" t="n">
        <v>8</v>
      </c>
      <c r="AA45" s="30" t="n">
        <v>11</v>
      </c>
      <c r="AB45" s="30" t="n">
        <v>12</v>
      </c>
      <c r="AC45" s="30" t="n">
        <v>11</v>
      </c>
      <c r="AD45" s="30" t="n">
        <v>10</v>
      </c>
      <c r="AE45" s="30" t="n">
        <v>10</v>
      </c>
      <c r="AF45" s="30" t="n">
        <v>11</v>
      </c>
      <c r="AG45" s="30" t="n">
        <v>10</v>
      </c>
      <c r="AH45" s="30" t="n">
        <v>12</v>
      </c>
      <c r="AI45" s="30" t="n">
        <v>15</v>
      </c>
    </row>
    <row r="46" customFormat="false" ht="15" hidden="false" customHeight="true" outlineLevel="0" collapsed="false">
      <c r="A46" s="32" t="s">
        <v>147</v>
      </c>
      <c r="B46" s="33" t="s">
        <v>114</v>
      </c>
      <c r="C46" s="35" t="s">
        <v>103</v>
      </c>
      <c r="D46" s="33" t="s">
        <v>117</v>
      </c>
      <c r="E46" s="33" t="s">
        <v>92</v>
      </c>
      <c r="F46" s="33" t="n">
        <v>3</v>
      </c>
      <c r="G46" s="33" t="n">
        <v>2</v>
      </c>
      <c r="H46" s="33" t="n">
        <v>4</v>
      </c>
      <c r="I46" s="33" t="n">
        <v>10</v>
      </c>
      <c r="J46" s="33" t="n">
        <v>3</v>
      </c>
      <c r="K46" s="33" t="n">
        <v>8</v>
      </c>
      <c r="L46" s="33" t="n">
        <v>8</v>
      </c>
      <c r="M46" s="33" t="n">
        <v>3</v>
      </c>
      <c r="N46" s="33" t="n">
        <v>6</v>
      </c>
      <c r="O46" s="33" t="n">
        <v>8</v>
      </c>
      <c r="P46" s="33" t="n">
        <v>4</v>
      </c>
      <c r="Q46" s="33" t="n">
        <v>4</v>
      </c>
      <c r="R46" s="33" t="n">
        <v>3</v>
      </c>
      <c r="S46" s="33" t="n">
        <v>2</v>
      </c>
      <c r="T46" s="33" t="n">
        <v>3</v>
      </c>
      <c r="U46" s="33" t="n">
        <v>2</v>
      </c>
      <c r="V46" s="33" t="n">
        <v>5</v>
      </c>
      <c r="W46" s="33" t="n">
        <v>3</v>
      </c>
      <c r="X46" s="33" t="n">
        <v>5</v>
      </c>
      <c r="Y46" s="33" t="n">
        <v>1</v>
      </c>
      <c r="Z46" s="33" t="n">
        <v>5</v>
      </c>
      <c r="AA46" s="33" t="n">
        <v>6</v>
      </c>
      <c r="AB46" s="33" t="n">
        <v>1</v>
      </c>
      <c r="AC46" s="33" t="n">
        <v>5</v>
      </c>
      <c r="AD46" s="33" t="n">
        <v>7</v>
      </c>
      <c r="AE46" s="33" t="n">
        <v>2</v>
      </c>
      <c r="AF46" s="33" t="n">
        <v>8</v>
      </c>
      <c r="AG46" s="33" t="n">
        <v>5</v>
      </c>
      <c r="AH46" s="33" t="n">
        <v>3</v>
      </c>
      <c r="AI46" s="33" t="n">
        <v>4</v>
      </c>
    </row>
    <row r="47" customFormat="false" ht="15" hidden="false" customHeight="true" outlineLevel="0" collapsed="false">
      <c r="A47" s="29" t="s">
        <v>148</v>
      </c>
      <c r="B47" s="30" t="s">
        <v>120</v>
      </c>
      <c r="C47" s="35" t="s">
        <v>103</v>
      </c>
      <c r="D47" s="30" t="s">
        <v>123</v>
      </c>
      <c r="E47" s="30" t="s">
        <v>124</v>
      </c>
      <c r="F47" s="30" t="n">
        <v>4</v>
      </c>
      <c r="G47" s="30" t="n">
        <v>3</v>
      </c>
      <c r="H47" s="30" t="n">
        <v>4</v>
      </c>
      <c r="I47" s="30" t="n">
        <v>1</v>
      </c>
      <c r="J47" s="30" t="n">
        <v>3</v>
      </c>
      <c r="K47" s="30" t="n">
        <v>0</v>
      </c>
      <c r="L47" s="30" t="n">
        <v>2</v>
      </c>
      <c r="M47" s="30" t="n">
        <v>1</v>
      </c>
      <c r="N47" s="30" t="n">
        <v>1</v>
      </c>
      <c r="O47" s="30" t="n">
        <v>5</v>
      </c>
      <c r="P47" s="30" t="n">
        <v>5</v>
      </c>
      <c r="Q47" s="30" t="n">
        <v>4</v>
      </c>
      <c r="R47" s="30" t="n">
        <v>0</v>
      </c>
      <c r="S47" s="30" t="n">
        <v>2</v>
      </c>
      <c r="T47" s="30" t="n">
        <v>5</v>
      </c>
      <c r="U47" s="30" t="n">
        <v>3</v>
      </c>
      <c r="V47" s="30" t="n">
        <v>7</v>
      </c>
      <c r="W47" s="30" t="n">
        <v>3</v>
      </c>
      <c r="X47" s="30" t="n">
        <v>3</v>
      </c>
      <c r="Y47" s="30" t="n">
        <v>2</v>
      </c>
      <c r="Z47" s="30" t="n">
        <v>3</v>
      </c>
      <c r="AA47" s="30" t="n">
        <v>2</v>
      </c>
      <c r="AB47" s="30" t="n">
        <v>4</v>
      </c>
      <c r="AC47" s="30" t="n">
        <v>4</v>
      </c>
      <c r="AD47" s="30" t="n">
        <v>1</v>
      </c>
      <c r="AE47" s="30" t="n">
        <v>0</v>
      </c>
      <c r="AF47" s="30" t="n">
        <v>0</v>
      </c>
      <c r="AG47" s="30" t="n">
        <v>4</v>
      </c>
      <c r="AH47" s="30" t="n">
        <v>0</v>
      </c>
      <c r="AI47" s="30" t="n">
        <v>0</v>
      </c>
    </row>
    <row r="48" customFormat="false" ht="15" hidden="false" customHeight="true" outlineLevel="0" collapsed="false">
      <c r="A48" s="32" t="s">
        <v>149</v>
      </c>
      <c r="B48" s="33" t="s">
        <v>89</v>
      </c>
      <c r="C48" s="34" t="s">
        <v>90</v>
      </c>
      <c r="D48" s="33" t="s">
        <v>123</v>
      </c>
      <c r="E48" s="33" t="s">
        <v>124</v>
      </c>
      <c r="F48" s="33" t="n">
        <v>9</v>
      </c>
      <c r="G48" s="33" t="n">
        <v>13</v>
      </c>
      <c r="H48" s="33" t="n">
        <v>8</v>
      </c>
      <c r="I48" s="33" t="n">
        <v>10</v>
      </c>
      <c r="J48" s="33" t="n">
        <v>9</v>
      </c>
      <c r="K48" s="33" t="n">
        <v>8</v>
      </c>
      <c r="L48" s="33" t="n">
        <v>10</v>
      </c>
      <c r="M48" s="33" t="n">
        <v>8</v>
      </c>
      <c r="N48" s="33" t="n">
        <v>9</v>
      </c>
      <c r="O48" s="33" t="n">
        <v>9</v>
      </c>
      <c r="P48" s="33" t="n">
        <v>7</v>
      </c>
      <c r="Q48" s="33" t="n">
        <v>10</v>
      </c>
      <c r="R48" s="33" t="n">
        <v>8</v>
      </c>
      <c r="S48" s="33" t="n">
        <v>7</v>
      </c>
      <c r="T48" s="33" t="n">
        <v>10</v>
      </c>
      <c r="U48" s="33" t="n">
        <v>7</v>
      </c>
      <c r="V48" s="33" t="n">
        <v>9</v>
      </c>
      <c r="W48" s="33" t="n">
        <v>8</v>
      </c>
      <c r="X48" s="33" t="n">
        <v>11</v>
      </c>
      <c r="Y48" s="33" t="n">
        <v>9</v>
      </c>
      <c r="Z48" s="33" t="n">
        <v>8</v>
      </c>
      <c r="AA48" s="33" t="n">
        <v>10</v>
      </c>
      <c r="AB48" s="33" t="n">
        <v>11</v>
      </c>
      <c r="AC48" s="33" t="n">
        <v>10</v>
      </c>
      <c r="AD48" s="33" t="n">
        <v>9</v>
      </c>
      <c r="AE48" s="33" t="n">
        <v>6</v>
      </c>
      <c r="AF48" s="33" t="n">
        <v>6</v>
      </c>
      <c r="AG48" s="33" t="n">
        <v>8</v>
      </c>
      <c r="AH48" s="33" t="n">
        <v>7</v>
      </c>
      <c r="AI48" s="33" t="n">
        <v>8</v>
      </c>
    </row>
    <row r="49" customFormat="false" ht="15" hidden="false" customHeight="true" outlineLevel="0" collapsed="false">
      <c r="A49" s="29" t="s">
        <v>150</v>
      </c>
      <c r="B49" s="30" t="s">
        <v>84</v>
      </c>
      <c r="C49" s="31" t="s">
        <v>85</v>
      </c>
      <c r="D49" s="30" t="s">
        <v>91</v>
      </c>
      <c r="E49" s="30" t="s">
        <v>92</v>
      </c>
      <c r="F49" s="30" t="n">
        <v>0</v>
      </c>
      <c r="G49" s="30" t="n">
        <v>1</v>
      </c>
      <c r="H49" s="30" t="n">
        <v>0</v>
      </c>
      <c r="I49" s="30" t="n">
        <v>0</v>
      </c>
      <c r="J49" s="30" t="n">
        <v>0</v>
      </c>
      <c r="K49" s="30" t="n">
        <v>0</v>
      </c>
      <c r="L49" s="30" t="n">
        <v>0</v>
      </c>
      <c r="M49" s="30" t="n">
        <v>0</v>
      </c>
      <c r="N49" s="30" t="n">
        <v>0</v>
      </c>
      <c r="O49" s="30" t="n">
        <v>1</v>
      </c>
      <c r="P49" s="30" t="n">
        <v>3</v>
      </c>
      <c r="Q49" s="30" t="n">
        <v>2</v>
      </c>
      <c r="R49" s="30" t="n">
        <v>0</v>
      </c>
      <c r="S49" s="30" t="n">
        <v>2</v>
      </c>
      <c r="T49" s="30" t="n">
        <v>0</v>
      </c>
      <c r="U49" s="30" t="n">
        <v>0</v>
      </c>
      <c r="V49" s="30" t="n">
        <v>0</v>
      </c>
      <c r="W49" s="30" t="n">
        <v>0</v>
      </c>
      <c r="X49" s="30" t="n">
        <v>0</v>
      </c>
      <c r="Y49" s="30" t="n">
        <v>0</v>
      </c>
      <c r="Z49" s="30" t="n">
        <v>0</v>
      </c>
      <c r="AA49" s="30" t="n">
        <v>0</v>
      </c>
      <c r="AB49" s="30" t="n">
        <v>0</v>
      </c>
      <c r="AC49" s="30" t="n">
        <v>2</v>
      </c>
      <c r="AD49" s="30" t="n">
        <v>1</v>
      </c>
      <c r="AE49" s="30" t="n">
        <v>0</v>
      </c>
      <c r="AF49" s="30" t="n">
        <v>0</v>
      </c>
      <c r="AG49" s="30" t="n">
        <v>1</v>
      </c>
      <c r="AH49" s="30" t="n">
        <v>0</v>
      </c>
      <c r="AI49" s="30" t="n">
        <v>0</v>
      </c>
    </row>
    <row r="50" customFormat="false" ht="15" hidden="false" customHeight="true" outlineLevel="0" collapsed="false">
      <c r="A50" s="32" t="s">
        <v>151</v>
      </c>
      <c r="B50" s="33" t="s">
        <v>89</v>
      </c>
      <c r="C50" s="34" t="s">
        <v>90</v>
      </c>
      <c r="D50" s="33" t="s">
        <v>112</v>
      </c>
      <c r="E50" s="33" t="s">
        <v>87</v>
      </c>
      <c r="F50" s="33" t="n">
        <v>0</v>
      </c>
      <c r="G50" s="33" t="n">
        <v>0</v>
      </c>
      <c r="H50" s="33" t="n">
        <v>1</v>
      </c>
      <c r="I50" s="33" t="n">
        <v>1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0</v>
      </c>
      <c r="P50" s="33" t="n">
        <v>0</v>
      </c>
      <c r="Q50" s="33" t="n">
        <v>1</v>
      </c>
      <c r="R50" s="33" t="n">
        <v>0</v>
      </c>
      <c r="S50" s="33" t="n">
        <v>0</v>
      </c>
      <c r="T50" s="33" t="n">
        <v>2</v>
      </c>
      <c r="U50" s="33" t="n">
        <v>0</v>
      </c>
      <c r="V50" s="33" t="n">
        <v>0</v>
      </c>
      <c r="W50" s="33" t="n">
        <v>0</v>
      </c>
      <c r="X50" s="33" t="n">
        <v>0</v>
      </c>
      <c r="Y50" s="33" t="n">
        <v>0</v>
      </c>
      <c r="Z50" s="33" t="n">
        <v>0</v>
      </c>
      <c r="AA50" s="33" t="n">
        <v>3</v>
      </c>
      <c r="AB50" s="33" t="n">
        <v>0</v>
      </c>
      <c r="AC50" s="33" t="n">
        <v>0</v>
      </c>
      <c r="AD50" s="33" t="n">
        <v>2</v>
      </c>
      <c r="AE50" s="33" t="n">
        <v>0</v>
      </c>
      <c r="AF50" s="33" t="n">
        <v>0</v>
      </c>
      <c r="AG50" s="33" t="n">
        <v>2</v>
      </c>
      <c r="AH50" s="33" t="n">
        <v>0</v>
      </c>
      <c r="AI50" s="33" t="n">
        <v>3</v>
      </c>
    </row>
    <row r="51" customFormat="false" ht="15" hidden="false" customHeight="true" outlineLevel="0" collapsed="false">
      <c r="A51" s="29" t="s">
        <v>152</v>
      </c>
      <c r="B51" s="30" t="s">
        <v>102</v>
      </c>
      <c r="C51" s="35" t="s">
        <v>103</v>
      </c>
      <c r="D51" s="30" t="s">
        <v>91</v>
      </c>
      <c r="E51" s="30" t="s">
        <v>92</v>
      </c>
      <c r="F51" s="30" t="n">
        <v>5</v>
      </c>
      <c r="G51" s="30" t="n">
        <v>3</v>
      </c>
      <c r="H51" s="30" t="n">
        <v>8</v>
      </c>
      <c r="I51" s="30" t="n">
        <v>2</v>
      </c>
      <c r="J51" s="30" t="n">
        <v>5</v>
      </c>
      <c r="K51" s="30" t="n">
        <v>4</v>
      </c>
      <c r="L51" s="30" t="n">
        <v>6</v>
      </c>
      <c r="M51" s="30" t="n">
        <v>7</v>
      </c>
      <c r="N51" s="30" t="n">
        <v>4</v>
      </c>
      <c r="O51" s="30" t="n">
        <v>2</v>
      </c>
      <c r="P51" s="30" t="n">
        <v>4</v>
      </c>
      <c r="Q51" s="30" t="n">
        <v>2</v>
      </c>
      <c r="R51" s="30" t="n">
        <v>8</v>
      </c>
      <c r="S51" s="30" t="n">
        <v>4</v>
      </c>
      <c r="T51" s="30" t="n">
        <v>3</v>
      </c>
      <c r="U51" s="30" t="n">
        <v>4</v>
      </c>
      <c r="V51" s="30" t="n">
        <v>1</v>
      </c>
      <c r="W51" s="30" t="n">
        <v>2</v>
      </c>
      <c r="X51" s="30" t="n">
        <v>6</v>
      </c>
      <c r="Y51" s="30" t="n">
        <v>2</v>
      </c>
      <c r="Z51" s="30" t="n">
        <v>1</v>
      </c>
      <c r="AA51" s="30" t="n">
        <v>5</v>
      </c>
      <c r="AB51" s="30" t="n">
        <v>6</v>
      </c>
      <c r="AC51" s="30" t="n">
        <v>5</v>
      </c>
      <c r="AD51" s="30" t="n">
        <v>5</v>
      </c>
      <c r="AE51" s="30" t="n">
        <v>2</v>
      </c>
      <c r="AF51" s="30" t="n">
        <v>1</v>
      </c>
      <c r="AG51" s="30" t="n">
        <v>7</v>
      </c>
      <c r="AH51" s="30" t="n">
        <v>3</v>
      </c>
      <c r="AI51" s="30" t="n">
        <v>3</v>
      </c>
    </row>
    <row r="52" customFormat="false" ht="15" hidden="false" customHeight="true" outlineLevel="0" collapsed="false">
      <c r="A52" s="32" t="s">
        <v>153</v>
      </c>
      <c r="B52" s="33" t="s">
        <v>99</v>
      </c>
      <c r="C52" s="31" t="s">
        <v>85</v>
      </c>
      <c r="D52" s="33" t="s">
        <v>96</v>
      </c>
      <c r="E52" s="33" t="s">
        <v>87</v>
      </c>
      <c r="F52" s="33" t="n">
        <v>13</v>
      </c>
      <c r="G52" s="33" t="n">
        <v>12</v>
      </c>
      <c r="H52" s="33" t="n">
        <v>11</v>
      </c>
      <c r="I52" s="33" t="n">
        <v>15</v>
      </c>
      <c r="J52" s="33" t="n">
        <v>9</v>
      </c>
      <c r="K52" s="33" t="n">
        <v>12</v>
      </c>
      <c r="L52" s="33" t="n">
        <v>11</v>
      </c>
      <c r="M52" s="33" t="n">
        <v>11</v>
      </c>
      <c r="N52" s="33" t="n">
        <v>14</v>
      </c>
      <c r="O52" s="33" t="n">
        <v>12</v>
      </c>
      <c r="P52" s="33" t="n">
        <v>12</v>
      </c>
      <c r="Q52" s="33" t="n">
        <v>13</v>
      </c>
      <c r="R52" s="33" t="n">
        <v>10</v>
      </c>
      <c r="S52" s="33" t="n">
        <v>9</v>
      </c>
      <c r="T52" s="33" t="n">
        <v>8</v>
      </c>
      <c r="U52" s="33" t="n">
        <v>7</v>
      </c>
      <c r="V52" s="33" t="n">
        <v>15</v>
      </c>
      <c r="W52" s="33" t="n">
        <v>8</v>
      </c>
      <c r="X52" s="33" t="n">
        <v>10</v>
      </c>
      <c r="Y52" s="33" t="n">
        <v>10</v>
      </c>
      <c r="Z52" s="33" t="n">
        <v>11</v>
      </c>
      <c r="AA52" s="33" t="n">
        <v>12</v>
      </c>
      <c r="AB52" s="33" t="n">
        <v>12</v>
      </c>
      <c r="AC52" s="33" t="n">
        <v>9</v>
      </c>
      <c r="AD52" s="33" t="n">
        <v>10</v>
      </c>
      <c r="AE52" s="33" t="n">
        <v>11</v>
      </c>
      <c r="AF52" s="33" t="n">
        <v>10</v>
      </c>
      <c r="AG52" s="33" t="n">
        <v>14</v>
      </c>
      <c r="AH52" s="33" t="n">
        <v>11</v>
      </c>
      <c r="AI52" s="33" t="n">
        <v>12</v>
      </c>
    </row>
    <row r="53" customFormat="false" ht="15" hidden="false" customHeight="true" outlineLevel="0" collapsed="false">
      <c r="A53" s="29" t="s">
        <v>154</v>
      </c>
      <c r="B53" s="30" t="s">
        <v>99</v>
      </c>
      <c r="C53" s="31" t="s">
        <v>85</v>
      </c>
      <c r="D53" s="30" t="s">
        <v>100</v>
      </c>
      <c r="E53" s="30" t="s">
        <v>87</v>
      </c>
      <c r="F53" s="30" t="n">
        <v>13</v>
      </c>
      <c r="G53" s="30" t="n">
        <v>14</v>
      </c>
      <c r="H53" s="30" t="n">
        <v>12</v>
      </c>
      <c r="I53" s="30" t="n">
        <v>9</v>
      </c>
      <c r="J53" s="30" t="n">
        <v>12</v>
      </c>
      <c r="K53" s="30" t="n">
        <v>10</v>
      </c>
      <c r="L53" s="30" t="n">
        <v>10</v>
      </c>
      <c r="M53" s="30" t="n">
        <v>13</v>
      </c>
      <c r="N53" s="30" t="n">
        <v>14</v>
      </c>
      <c r="O53" s="30" t="n">
        <v>12</v>
      </c>
      <c r="P53" s="30" t="n">
        <v>12</v>
      </c>
      <c r="Q53" s="30" t="n">
        <v>15</v>
      </c>
      <c r="R53" s="30" t="n">
        <v>12</v>
      </c>
      <c r="S53" s="30" t="n">
        <v>17</v>
      </c>
      <c r="T53" s="30" t="n">
        <v>13</v>
      </c>
      <c r="U53" s="30" t="n">
        <v>8</v>
      </c>
      <c r="V53" s="30" t="n">
        <v>13</v>
      </c>
      <c r="W53" s="30" t="n">
        <v>12</v>
      </c>
      <c r="X53" s="30" t="n">
        <v>14</v>
      </c>
      <c r="Y53" s="30" t="n">
        <v>13</v>
      </c>
      <c r="Z53" s="30" t="n">
        <v>11</v>
      </c>
      <c r="AA53" s="30" t="n">
        <v>9</v>
      </c>
      <c r="AB53" s="30" t="n">
        <v>11</v>
      </c>
      <c r="AC53" s="30" t="n">
        <v>10</v>
      </c>
      <c r="AD53" s="30" t="n">
        <v>10</v>
      </c>
      <c r="AE53" s="30" t="n">
        <v>13</v>
      </c>
      <c r="AF53" s="30" t="n">
        <v>15</v>
      </c>
      <c r="AG53" s="30" t="n">
        <v>12</v>
      </c>
      <c r="AH53" s="30" t="n">
        <v>9</v>
      </c>
      <c r="AI53" s="30" t="n">
        <v>12</v>
      </c>
    </row>
    <row r="54" customFormat="false" ht="15" hidden="false" customHeight="true" outlineLevel="0" collapsed="false">
      <c r="A54" s="32" t="s">
        <v>155</v>
      </c>
      <c r="B54" s="33" t="s">
        <v>102</v>
      </c>
      <c r="C54" s="35" t="s">
        <v>103</v>
      </c>
      <c r="D54" s="33" t="s">
        <v>112</v>
      </c>
      <c r="E54" s="33" t="s">
        <v>87</v>
      </c>
      <c r="F54" s="33" t="n">
        <v>12</v>
      </c>
      <c r="G54" s="33" t="n">
        <v>8</v>
      </c>
      <c r="H54" s="33" t="n">
        <v>9</v>
      </c>
      <c r="I54" s="33" t="n">
        <v>10</v>
      </c>
      <c r="J54" s="33" t="n">
        <v>8</v>
      </c>
      <c r="K54" s="33" t="n">
        <v>11</v>
      </c>
      <c r="L54" s="33" t="n">
        <v>9</v>
      </c>
      <c r="M54" s="33" t="n">
        <v>10</v>
      </c>
      <c r="N54" s="33" t="n">
        <v>8</v>
      </c>
      <c r="O54" s="33" t="n">
        <v>9</v>
      </c>
      <c r="P54" s="33" t="n">
        <v>11</v>
      </c>
      <c r="Q54" s="33" t="n">
        <v>9</v>
      </c>
      <c r="R54" s="33" t="n">
        <v>13</v>
      </c>
      <c r="S54" s="33" t="n">
        <v>9</v>
      </c>
      <c r="T54" s="33" t="n">
        <v>10</v>
      </c>
      <c r="U54" s="33" t="n">
        <v>11</v>
      </c>
      <c r="V54" s="33" t="n">
        <v>7</v>
      </c>
      <c r="W54" s="33" t="n">
        <v>6</v>
      </c>
      <c r="X54" s="33" t="n">
        <v>6</v>
      </c>
      <c r="Y54" s="33" t="n">
        <v>12</v>
      </c>
      <c r="Z54" s="33" t="n">
        <v>8</v>
      </c>
      <c r="AA54" s="33" t="n">
        <v>15</v>
      </c>
      <c r="AB54" s="33" t="n">
        <v>8</v>
      </c>
      <c r="AC54" s="33" t="n">
        <v>10</v>
      </c>
      <c r="AD54" s="33" t="n">
        <v>13</v>
      </c>
      <c r="AE54" s="33" t="n">
        <v>14</v>
      </c>
      <c r="AF54" s="33" t="n">
        <v>14</v>
      </c>
      <c r="AG54" s="33" t="n">
        <v>12</v>
      </c>
      <c r="AH54" s="33" t="n">
        <v>12</v>
      </c>
      <c r="AI54" s="33" t="n">
        <v>11</v>
      </c>
    </row>
    <row r="56" customFormat="false" ht="15" hidden="false" customHeight="true" outlineLevel="0" collapsed="false">
      <c r="A56" s="36" t="s">
        <v>156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</row>
  </sheetData>
  <mergeCells count="3">
    <mergeCell ref="A1:J1"/>
    <mergeCell ref="A2:J2"/>
    <mergeCell ref="A56:AI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7" min="2" style="1" width="16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22"/>
    <col collapsed="false" customWidth="true" hidden="false" outlineLevel="0" max="11" min="11" style="1" width="16"/>
  </cols>
  <sheetData>
    <row r="1" customFormat="false" ht="31.5" hidden="false" customHeight="true" outlineLevel="0" collapsed="false">
      <c r="A1" s="7" t="s">
        <v>157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158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9.5" hidden="false" customHeight="true" outlineLevel="0" collapsed="false">
      <c r="A4" s="9" t="s">
        <v>159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21.75" hidden="false" customHeight="true" outlineLevel="0" collapsed="false">
      <c r="A5" s="19" t="s">
        <v>160</v>
      </c>
      <c r="B5" s="19" t="s">
        <v>161</v>
      </c>
      <c r="C5" s="19" t="s">
        <v>162</v>
      </c>
      <c r="D5" s="19" t="s">
        <v>163</v>
      </c>
      <c r="E5" s="19" t="s">
        <v>164</v>
      </c>
      <c r="F5" s="19" t="s">
        <v>165</v>
      </c>
      <c r="G5" s="19" t="s">
        <v>166</v>
      </c>
      <c r="H5" s="19" t="s">
        <v>167</v>
      </c>
      <c r="I5" s="19" t="s">
        <v>168</v>
      </c>
      <c r="J5" s="19" t="s">
        <v>169</v>
      </c>
    </row>
    <row r="6" customFormat="false" ht="15" hidden="false" customHeight="true" outlineLevel="0" collapsed="false">
      <c r="A6" s="37" t="n">
        <v>1</v>
      </c>
      <c r="B6" s="37" t="s">
        <v>170</v>
      </c>
      <c r="C6" s="37" t="s">
        <v>120</v>
      </c>
      <c r="D6" s="37" t="s">
        <v>103</v>
      </c>
      <c r="E6" s="37" t="s">
        <v>112</v>
      </c>
      <c r="F6" s="38" t="n">
        <v>7.6</v>
      </c>
      <c r="G6" s="38" t="n">
        <v>7.14</v>
      </c>
      <c r="H6" s="39" t="n">
        <v>0.939</v>
      </c>
      <c r="I6" s="40" t="s">
        <v>171</v>
      </c>
      <c r="J6" s="41" t="s">
        <v>172</v>
      </c>
    </row>
    <row r="7" customFormat="false" ht="15" hidden="false" customHeight="true" outlineLevel="0" collapsed="false">
      <c r="A7" s="42" t="n">
        <v>2</v>
      </c>
      <c r="B7" s="42" t="s">
        <v>88</v>
      </c>
      <c r="C7" s="42" t="s">
        <v>89</v>
      </c>
      <c r="D7" s="42" t="s">
        <v>90</v>
      </c>
      <c r="E7" s="42" t="s">
        <v>96</v>
      </c>
      <c r="F7" s="43" t="n">
        <v>2.8</v>
      </c>
      <c r="G7" s="43" t="n">
        <v>3.31</v>
      </c>
      <c r="H7" s="44" t="n">
        <v>1.182</v>
      </c>
      <c r="I7" s="45" t="s">
        <v>173</v>
      </c>
      <c r="J7" s="46" t="s">
        <v>174</v>
      </c>
    </row>
    <row r="8" customFormat="false" ht="15" hidden="false" customHeight="true" outlineLevel="0" collapsed="false">
      <c r="A8" s="47" t="n">
        <v>3</v>
      </c>
      <c r="B8" s="47" t="s">
        <v>175</v>
      </c>
      <c r="C8" s="47" t="s">
        <v>106</v>
      </c>
      <c r="D8" s="47" t="s">
        <v>90</v>
      </c>
      <c r="E8" s="47" t="s">
        <v>123</v>
      </c>
      <c r="F8" s="48" t="n">
        <v>9</v>
      </c>
      <c r="G8" s="48" t="n">
        <v>6.41</v>
      </c>
      <c r="H8" s="49" t="n">
        <v>0.712</v>
      </c>
      <c r="I8" s="50" t="s">
        <v>176</v>
      </c>
      <c r="J8" s="51" t="s">
        <v>177</v>
      </c>
    </row>
    <row r="9" customFormat="false" ht="15" hidden="false" customHeight="true" outlineLevel="0" collapsed="false">
      <c r="A9" s="47" t="n">
        <v>4</v>
      </c>
      <c r="B9" s="47" t="s">
        <v>178</v>
      </c>
      <c r="C9" s="47" t="s">
        <v>84</v>
      </c>
      <c r="D9" s="47" t="s">
        <v>85</v>
      </c>
      <c r="E9" s="47" t="s">
        <v>112</v>
      </c>
      <c r="F9" s="48" t="n">
        <v>13.4</v>
      </c>
      <c r="G9" s="48" t="n">
        <v>8.85</v>
      </c>
      <c r="H9" s="49" t="n">
        <v>0.66</v>
      </c>
      <c r="I9" s="50" t="s">
        <v>176</v>
      </c>
      <c r="J9" s="51" t="s">
        <v>177</v>
      </c>
    </row>
    <row r="10" customFormat="false" ht="15" hidden="false" customHeight="true" outlineLevel="0" collapsed="false">
      <c r="A10" s="42" t="n">
        <v>5</v>
      </c>
      <c r="B10" s="42" t="s">
        <v>179</v>
      </c>
      <c r="C10" s="42" t="s">
        <v>89</v>
      </c>
      <c r="D10" s="42" t="s">
        <v>90</v>
      </c>
      <c r="E10" s="42" t="s">
        <v>142</v>
      </c>
      <c r="F10" s="43" t="n">
        <v>14.6</v>
      </c>
      <c r="G10" s="43" t="n">
        <v>19.58</v>
      </c>
      <c r="H10" s="44" t="n">
        <v>1.341</v>
      </c>
      <c r="I10" s="45" t="s">
        <v>173</v>
      </c>
      <c r="J10" s="46" t="s">
        <v>174</v>
      </c>
    </row>
    <row r="11" customFormat="false" ht="15" hidden="false" customHeight="true" outlineLevel="0" collapsed="false">
      <c r="A11" s="42" t="n">
        <v>6</v>
      </c>
      <c r="B11" s="42" t="s">
        <v>180</v>
      </c>
      <c r="C11" s="42" t="s">
        <v>89</v>
      </c>
      <c r="D11" s="42" t="s">
        <v>90</v>
      </c>
      <c r="E11" s="42" t="s">
        <v>123</v>
      </c>
      <c r="F11" s="43" t="n">
        <v>8.3</v>
      </c>
      <c r="G11" s="43" t="n">
        <v>10.72</v>
      </c>
      <c r="H11" s="44" t="n">
        <v>1.292</v>
      </c>
      <c r="I11" s="45" t="s">
        <v>173</v>
      </c>
      <c r="J11" s="46" t="s">
        <v>174</v>
      </c>
    </row>
    <row r="12" customFormat="false" ht="15" hidden="false" customHeight="true" outlineLevel="0" collapsed="false">
      <c r="A12" s="37" t="n">
        <v>7</v>
      </c>
      <c r="B12" s="37" t="s">
        <v>181</v>
      </c>
      <c r="C12" s="37" t="s">
        <v>114</v>
      </c>
      <c r="D12" s="37" t="s">
        <v>103</v>
      </c>
      <c r="E12" s="37" t="s">
        <v>132</v>
      </c>
      <c r="F12" s="38" t="n">
        <v>14.8</v>
      </c>
      <c r="G12" s="38" t="n">
        <v>12.02</v>
      </c>
      <c r="H12" s="39" t="n">
        <v>0.812</v>
      </c>
      <c r="I12" s="40" t="s">
        <v>171</v>
      </c>
      <c r="J12" s="41" t="s">
        <v>172</v>
      </c>
    </row>
    <row r="13" customFormat="false" ht="15" hidden="false" customHeight="true" outlineLevel="0" collapsed="false">
      <c r="A13" s="42" t="n">
        <v>8</v>
      </c>
      <c r="B13" s="42" t="s">
        <v>182</v>
      </c>
      <c r="C13" s="42" t="s">
        <v>99</v>
      </c>
      <c r="D13" s="42" t="s">
        <v>85</v>
      </c>
      <c r="E13" s="42" t="s">
        <v>96</v>
      </c>
      <c r="F13" s="43" t="n">
        <v>14.4</v>
      </c>
      <c r="G13" s="43" t="n">
        <v>20.11</v>
      </c>
      <c r="H13" s="44" t="n">
        <v>1.397</v>
      </c>
      <c r="I13" s="45" t="s">
        <v>173</v>
      </c>
      <c r="J13" s="46" t="s">
        <v>174</v>
      </c>
    </row>
    <row r="14" customFormat="false" ht="15" hidden="false" customHeight="true" outlineLevel="0" collapsed="false">
      <c r="A14" s="42" t="n">
        <v>9</v>
      </c>
      <c r="B14" s="42" t="s">
        <v>183</v>
      </c>
      <c r="C14" s="42" t="s">
        <v>84</v>
      </c>
      <c r="D14" s="42" t="s">
        <v>85</v>
      </c>
      <c r="E14" s="42" t="s">
        <v>94</v>
      </c>
      <c r="F14" s="43" t="n">
        <v>5.9</v>
      </c>
      <c r="G14" s="43" t="n">
        <v>8.11</v>
      </c>
      <c r="H14" s="44" t="n">
        <v>1.375</v>
      </c>
      <c r="I14" s="45" t="s">
        <v>173</v>
      </c>
      <c r="J14" s="46" t="s">
        <v>174</v>
      </c>
    </row>
    <row r="15" customFormat="false" ht="15" hidden="false" customHeight="true" outlineLevel="0" collapsed="false">
      <c r="A15" s="37" t="n">
        <v>10</v>
      </c>
      <c r="B15" s="37" t="s">
        <v>184</v>
      </c>
      <c r="C15" s="37" t="s">
        <v>84</v>
      </c>
      <c r="D15" s="37" t="s">
        <v>85</v>
      </c>
      <c r="E15" s="37" t="s">
        <v>112</v>
      </c>
      <c r="F15" s="38" t="n">
        <v>2.7</v>
      </c>
      <c r="G15" s="38" t="n">
        <v>2.88</v>
      </c>
      <c r="H15" s="39" t="n">
        <v>1.067</v>
      </c>
      <c r="I15" s="40" t="s">
        <v>171</v>
      </c>
      <c r="J15" s="41" t="s">
        <v>172</v>
      </c>
    </row>
    <row r="16" customFormat="false" ht="15" hidden="false" customHeight="true" outlineLevel="0" collapsed="false">
      <c r="A16" s="47" t="n">
        <v>11</v>
      </c>
      <c r="B16" s="47" t="s">
        <v>185</v>
      </c>
      <c r="C16" s="47" t="s">
        <v>89</v>
      </c>
      <c r="D16" s="47" t="s">
        <v>90</v>
      </c>
      <c r="E16" s="47" t="s">
        <v>123</v>
      </c>
      <c r="F16" s="48" t="n">
        <v>13.1</v>
      </c>
      <c r="G16" s="48" t="n">
        <v>8.58</v>
      </c>
      <c r="H16" s="49" t="n">
        <v>0.655</v>
      </c>
      <c r="I16" s="50" t="s">
        <v>176</v>
      </c>
      <c r="J16" s="51" t="s">
        <v>177</v>
      </c>
    </row>
    <row r="17" customFormat="false" ht="15" hidden="false" customHeight="true" outlineLevel="0" collapsed="false">
      <c r="A17" s="37" t="n">
        <v>12</v>
      </c>
      <c r="B17" s="37" t="s">
        <v>186</v>
      </c>
      <c r="C17" s="37" t="s">
        <v>84</v>
      </c>
      <c r="D17" s="37" t="s">
        <v>85</v>
      </c>
      <c r="E17" s="37" t="s">
        <v>91</v>
      </c>
      <c r="F17" s="38" t="n">
        <v>14.2</v>
      </c>
      <c r="G17" s="38" t="n">
        <v>14.99</v>
      </c>
      <c r="H17" s="39" t="n">
        <v>1.056</v>
      </c>
      <c r="I17" s="40" t="s">
        <v>171</v>
      </c>
      <c r="J17" s="41" t="s">
        <v>172</v>
      </c>
    </row>
    <row r="18" customFormat="false" ht="15" hidden="false" customHeight="true" outlineLevel="0" collapsed="false">
      <c r="A18" s="37" t="n">
        <v>13</v>
      </c>
      <c r="B18" s="37" t="s">
        <v>187</v>
      </c>
      <c r="C18" s="37" t="s">
        <v>99</v>
      </c>
      <c r="D18" s="37" t="s">
        <v>85</v>
      </c>
      <c r="E18" s="37" t="s">
        <v>123</v>
      </c>
      <c r="F18" s="38" t="n">
        <v>7.4</v>
      </c>
      <c r="G18" s="38" t="n">
        <v>7.9</v>
      </c>
      <c r="H18" s="39" t="n">
        <v>1.068</v>
      </c>
      <c r="I18" s="40" t="s">
        <v>171</v>
      </c>
      <c r="J18" s="41" t="s">
        <v>172</v>
      </c>
    </row>
    <row r="19" customFormat="false" ht="15" hidden="false" customHeight="true" outlineLevel="0" collapsed="false">
      <c r="A19" s="37" t="n">
        <v>14</v>
      </c>
      <c r="B19" s="37" t="s">
        <v>188</v>
      </c>
      <c r="C19" s="37" t="s">
        <v>114</v>
      </c>
      <c r="D19" s="37" t="s">
        <v>103</v>
      </c>
      <c r="E19" s="37" t="s">
        <v>86</v>
      </c>
      <c r="F19" s="38" t="n">
        <v>10.7</v>
      </c>
      <c r="G19" s="38" t="n">
        <v>9.11</v>
      </c>
      <c r="H19" s="39" t="n">
        <v>0.851</v>
      </c>
      <c r="I19" s="40" t="s">
        <v>171</v>
      </c>
      <c r="J19" s="41" t="s">
        <v>172</v>
      </c>
    </row>
    <row r="20" customFormat="false" ht="15" hidden="false" customHeight="true" outlineLevel="0" collapsed="false">
      <c r="A20" s="42" t="n">
        <v>15</v>
      </c>
      <c r="B20" s="42" t="s">
        <v>189</v>
      </c>
      <c r="C20" s="42" t="s">
        <v>89</v>
      </c>
      <c r="D20" s="42" t="s">
        <v>90</v>
      </c>
      <c r="E20" s="42" t="s">
        <v>132</v>
      </c>
      <c r="F20" s="43" t="n">
        <v>7.9</v>
      </c>
      <c r="G20" s="43" t="n">
        <v>10.61</v>
      </c>
      <c r="H20" s="44" t="n">
        <v>1.343</v>
      </c>
      <c r="I20" s="45" t="s">
        <v>173</v>
      </c>
      <c r="J20" s="46" t="s">
        <v>174</v>
      </c>
    </row>
    <row r="21" customFormat="false" ht="15" hidden="false" customHeight="true" outlineLevel="0" collapsed="false">
      <c r="A21" s="42" t="n">
        <v>16</v>
      </c>
      <c r="B21" s="42" t="s">
        <v>190</v>
      </c>
      <c r="C21" s="42" t="s">
        <v>89</v>
      </c>
      <c r="D21" s="42" t="s">
        <v>90</v>
      </c>
      <c r="E21" s="42" t="s">
        <v>94</v>
      </c>
      <c r="F21" s="43" t="n">
        <v>15</v>
      </c>
      <c r="G21" s="43" t="n">
        <v>20.95</v>
      </c>
      <c r="H21" s="44" t="n">
        <v>1.397</v>
      </c>
      <c r="I21" s="45" t="s">
        <v>173</v>
      </c>
      <c r="J21" s="46" t="s">
        <v>174</v>
      </c>
    </row>
    <row r="22" customFormat="false" ht="15" hidden="false" customHeight="true" outlineLevel="0" collapsed="false">
      <c r="A22" s="37" t="n">
        <v>17</v>
      </c>
      <c r="B22" s="37" t="s">
        <v>191</v>
      </c>
      <c r="C22" s="37" t="s">
        <v>89</v>
      </c>
      <c r="D22" s="37" t="s">
        <v>90</v>
      </c>
      <c r="E22" s="37" t="s">
        <v>142</v>
      </c>
      <c r="F22" s="38" t="n">
        <v>3.7</v>
      </c>
      <c r="G22" s="38" t="n">
        <v>3.25</v>
      </c>
      <c r="H22" s="39" t="n">
        <v>0.878</v>
      </c>
      <c r="I22" s="40" t="s">
        <v>171</v>
      </c>
      <c r="J22" s="41" t="s">
        <v>172</v>
      </c>
    </row>
    <row r="23" customFormat="false" ht="15" hidden="false" customHeight="true" outlineLevel="0" collapsed="false">
      <c r="A23" s="42" t="n">
        <v>18</v>
      </c>
      <c r="B23" s="42" t="s">
        <v>192</v>
      </c>
      <c r="C23" s="42" t="s">
        <v>99</v>
      </c>
      <c r="D23" s="42" t="s">
        <v>85</v>
      </c>
      <c r="E23" s="42" t="s">
        <v>117</v>
      </c>
      <c r="F23" s="43" t="n">
        <v>4.1</v>
      </c>
      <c r="G23" s="43" t="n">
        <v>5.19</v>
      </c>
      <c r="H23" s="44" t="n">
        <v>1.266</v>
      </c>
      <c r="I23" s="45" t="s">
        <v>173</v>
      </c>
      <c r="J23" s="46" t="s">
        <v>174</v>
      </c>
    </row>
    <row r="24" customFormat="false" ht="15" hidden="false" customHeight="true" outlineLevel="0" collapsed="false">
      <c r="A24" s="42" t="n">
        <v>19</v>
      </c>
      <c r="B24" s="42" t="s">
        <v>193</v>
      </c>
      <c r="C24" s="42" t="s">
        <v>99</v>
      </c>
      <c r="D24" s="42" t="s">
        <v>85</v>
      </c>
      <c r="E24" s="42" t="s">
        <v>91</v>
      </c>
      <c r="F24" s="43" t="n">
        <v>8.9</v>
      </c>
      <c r="G24" s="43" t="n">
        <v>10.1</v>
      </c>
      <c r="H24" s="44" t="n">
        <v>1.135</v>
      </c>
      <c r="I24" s="45" t="s">
        <v>173</v>
      </c>
      <c r="J24" s="46" t="s">
        <v>174</v>
      </c>
    </row>
    <row r="25" customFormat="false" ht="15" hidden="false" customHeight="true" outlineLevel="0" collapsed="false">
      <c r="A25" s="47" t="n">
        <v>20</v>
      </c>
      <c r="B25" s="47" t="s">
        <v>194</v>
      </c>
      <c r="C25" s="47" t="s">
        <v>89</v>
      </c>
      <c r="D25" s="47" t="s">
        <v>90</v>
      </c>
      <c r="E25" s="47" t="s">
        <v>117</v>
      </c>
      <c r="F25" s="48" t="n">
        <v>14.2</v>
      </c>
      <c r="G25" s="48" t="n">
        <v>10.05</v>
      </c>
      <c r="H25" s="49" t="n">
        <v>0.708</v>
      </c>
      <c r="I25" s="50" t="s">
        <v>176</v>
      </c>
      <c r="J25" s="51" t="s">
        <v>177</v>
      </c>
    </row>
    <row r="28" customFormat="false" ht="19.5" hidden="false" customHeight="true" outlineLevel="0" collapsed="false">
      <c r="A28" s="9" t="s">
        <v>195</v>
      </c>
      <c r="B28" s="9"/>
      <c r="C28" s="9"/>
      <c r="D28" s="9"/>
      <c r="E28" s="9"/>
      <c r="F28" s="9"/>
      <c r="G28" s="9"/>
      <c r="H28" s="9"/>
      <c r="I28" s="9"/>
      <c r="J28" s="9"/>
    </row>
    <row r="29" customFormat="false" ht="21.75" hidden="false" customHeight="true" outlineLevel="0" collapsed="false">
      <c r="A29" s="19" t="s">
        <v>196</v>
      </c>
      <c r="B29" s="19" t="s">
        <v>12</v>
      </c>
      <c r="C29" s="19" t="s">
        <v>197</v>
      </c>
      <c r="D29" s="19" t="s">
        <v>198</v>
      </c>
      <c r="E29" s="19" t="s">
        <v>199</v>
      </c>
      <c r="F29" s="19" t="s">
        <v>200</v>
      </c>
      <c r="G29" s="19" t="s">
        <v>201</v>
      </c>
    </row>
    <row r="30" customFormat="false" ht="15" hidden="false" customHeight="true" outlineLevel="0" collapsed="false">
      <c r="A30" s="52" t="n">
        <v>1</v>
      </c>
      <c r="B30" s="52" t="s">
        <v>202</v>
      </c>
      <c r="C30" s="53" t="n">
        <v>47996</v>
      </c>
      <c r="D30" s="53" t="n">
        <v>12686</v>
      </c>
      <c r="E30" s="53" t="n">
        <v>16887</v>
      </c>
      <c r="F30" s="53" t="n">
        <f aca="false">C30+D30+E30</f>
        <v>77569</v>
      </c>
      <c r="G30" s="52" t="s">
        <v>203</v>
      </c>
    </row>
    <row r="31" customFormat="false" ht="15" hidden="false" customHeight="true" outlineLevel="0" collapsed="false">
      <c r="A31" s="54" t="n">
        <v>2</v>
      </c>
      <c r="B31" s="54" t="s">
        <v>204</v>
      </c>
      <c r="C31" s="55" t="n">
        <v>45015</v>
      </c>
      <c r="D31" s="55" t="n">
        <v>12601</v>
      </c>
      <c r="E31" s="55" t="n">
        <v>17491</v>
      </c>
      <c r="F31" s="55" t="n">
        <f aca="false">C31+D31+E31</f>
        <v>75107</v>
      </c>
      <c r="G31" s="56" t="n">
        <f aca="false">(F31-F30)/F30</f>
        <v>-0.0317394835565754</v>
      </c>
    </row>
    <row r="32" customFormat="false" ht="15" hidden="false" customHeight="true" outlineLevel="0" collapsed="false">
      <c r="A32" s="52" t="n">
        <v>3</v>
      </c>
      <c r="B32" s="52" t="s">
        <v>205</v>
      </c>
      <c r="C32" s="53" t="n">
        <v>45666</v>
      </c>
      <c r="D32" s="53" t="n">
        <v>12113</v>
      </c>
      <c r="E32" s="53" t="n">
        <v>18023</v>
      </c>
      <c r="F32" s="53" t="n">
        <f aca="false">C32+D32+E32</f>
        <v>75802</v>
      </c>
      <c r="G32" s="57" t="n">
        <f aca="false">(F32-F31)/F31</f>
        <v>0.00925346505651937</v>
      </c>
    </row>
    <row r="33" customFormat="false" ht="15" hidden="false" customHeight="true" outlineLevel="0" collapsed="false">
      <c r="A33" s="54" t="n">
        <v>4</v>
      </c>
      <c r="B33" s="54" t="s">
        <v>206</v>
      </c>
      <c r="C33" s="55" t="n">
        <v>44710</v>
      </c>
      <c r="D33" s="55" t="n">
        <v>12429</v>
      </c>
      <c r="E33" s="55" t="n">
        <v>18897</v>
      </c>
      <c r="F33" s="55" t="n">
        <f aca="false">C33+D33+E33</f>
        <v>76036</v>
      </c>
      <c r="G33" s="56" t="n">
        <f aca="false">(F33-F32)/F32</f>
        <v>0.00308698978918762</v>
      </c>
    </row>
    <row r="34" customFormat="false" ht="15" hidden="false" customHeight="true" outlineLevel="0" collapsed="false">
      <c r="A34" s="52" t="n">
        <v>5</v>
      </c>
      <c r="B34" s="52" t="s">
        <v>207</v>
      </c>
      <c r="C34" s="53" t="n">
        <v>42967</v>
      </c>
      <c r="D34" s="53" t="n">
        <v>13005</v>
      </c>
      <c r="E34" s="53" t="n">
        <v>18206</v>
      </c>
      <c r="F34" s="53" t="n">
        <f aca="false">C34+D34+E34</f>
        <v>74178</v>
      </c>
      <c r="G34" s="57" t="n">
        <f aca="false">(F34-F33)/F33</f>
        <v>-0.0244357935714661</v>
      </c>
    </row>
    <row r="35" customFormat="false" ht="15" hidden="false" customHeight="true" outlineLevel="0" collapsed="false">
      <c r="A35" s="54" t="n">
        <v>6</v>
      </c>
      <c r="B35" s="54" t="s">
        <v>208</v>
      </c>
      <c r="C35" s="55" t="n">
        <v>46174</v>
      </c>
      <c r="D35" s="55" t="n">
        <v>10931</v>
      </c>
      <c r="E35" s="55" t="n">
        <v>18149</v>
      </c>
      <c r="F35" s="55" t="n">
        <f aca="false">C35+D35+E35</f>
        <v>75254</v>
      </c>
      <c r="G35" s="56" t="n">
        <f aca="false">(F35-F34)/F34</f>
        <v>0.0145056485750492</v>
      </c>
    </row>
    <row r="36" customFormat="false" ht="15" hidden="false" customHeight="true" outlineLevel="0" collapsed="false">
      <c r="A36" s="52" t="n">
        <v>7</v>
      </c>
      <c r="B36" s="52" t="s">
        <v>209</v>
      </c>
      <c r="C36" s="53" t="n">
        <v>48547</v>
      </c>
      <c r="D36" s="53" t="n">
        <v>10991</v>
      </c>
      <c r="E36" s="53" t="n">
        <v>16638</v>
      </c>
      <c r="F36" s="53" t="n">
        <f aca="false">C36+D36+E36</f>
        <v>76176</v>
      </c>
      <c r="G36" s="57" t="n">
        <f aca="false">(F36-F35)/F35</f>
        <v>0.0122518404337311</v>
      </c>
    </row>
    <row r="37" customFormat="false" ht="15" hidden="false" customHeight="true" outlineLevel="0" collapsed="false">
      <c r="A37" s="54" t="n">
        <v>8</v>
      </c>
      <c r="B37" s="54" t="s">
        <v>210</v>
      </c>
      <c r="C37" s="55" t="n">
        <v>41319</v>
      </c>
      <c r="D37" s="55" t="n">
        <v>12287</v>
      </c>
      <c r="E37" s="55" t="n">
        <v>19789</v>
      </c>
      <c r="F37" s="55" t="n">
        <f aca="false">C37+D37+E37</f>
        <v>73395</v>
      </c>
      <c r="G37" s="56" t="n">
        <f aca="false">(F37-F36)/F36</f>
        <v>-0.036507561436673</v>
      </c>
    </row>
    <row r="38" customFormat="false" ht="15" hidden="false" customHeight="true" outlineLevel="0" collapsed="false">
      <c r="A38" s="52" t="n">
        <v>9</v>
      </c>
      <c r="B38" s="52" t="s">
        <v>211</v>
      </c>
      <c r="C38" s="53" t="n">
        <v>47805</v>
      </c>
      <c r="D38" s="53" t="n">
        <v>13642</v>
      </c>
      <c r="E38" s="53" t="n">
        <v>18154</v>
      </c>
      <c r="F38" s="53" t="n">
        <f aca="false">C38+D38+E38</f>
        <v>79601</v>
      </c>
      <c r="G38" s="57" t="n">
        <f aca="false">(F38-F37)/F37</f>
        <v>0.0845561686763404</v>
      </c>
    </row>
    <row r="39" customFormat="false" ht="15" hidden="false" customHeight="true" outlineLevel="0" collapsed="false">
      <c r="A39" s="54" t="n">
        <v>10</v>
      </c>
      <c r="B39" s="54" t="s">
        <v>212</v>
      </c>
      <c r="C39" s="55" t="n">
        <v>48457</v>
      </c>
      <c r="D39" s="55" t="n">
        <v>11781</v>
      </c>
      <c r="E39" s="55" t="n">
        <v>18534</v>
      </c>
      <c r="F39" s="55" t="n">
        <f aca="false">C39+D39+E39</f>
        <v>78772</v>
      </c>
      <c r="G39" s="56" t="n">
        <f aca="false">(F39-F38)/F38</f>
        <v>-0.0104144420296227</v>
      </c>
    </row>
    <row r="40" customFormat="false" ht="15" hidden="false" customHeight="true" outlineLevel="0" collapsed="false">
      <c r="A40" s="52" t="n">
        <v>11</v>
      </c>
      <c r="B40" s="52" t="s">
        <v>213</v>
      </c>
      <c r="C40" s="53" t="n">
        <v>44744</v>
      </c>
      <c r="D40" s="53" t="n">
        <v>11518</v>
      </c>
      <c r="E40" s="53" t="n">
        <v>18199</v>
      </c>
      <c r="F40" s="53" t="n">
        <f aca="false">C40+D40+E40</f>
        <v>74461</v>
      </c>
      <c r="G40" s="57" t="n">
        <f aca="false">(F40-F39)/F39</f>
        <v>-0.0547275681714315</v>
      </c>
    </row>
    <row r="41" customFormat="false" ht="15" hidden="false" customHeight="true" outlineLevel="0" collapsed="false">
      <c r="A41" s="54" t="n">
        <v>12</v>
      </c>
      <c r="B41" s="54" t="s">
        <v>214</v>
      </c>
      <c r="C41" s="55" t="n">
        <v>44309</v>
      </c>
      <c r="D41" s="55" t="n">
        <v>13306</v>
      </c>
      <c r="E41" s="55" t="n">
        <v>18254</v>
      </c>
      <c r="F41" s="55" t="n">
        <f aca="false">C41+D41+E41</f>
        <v>75869</v>
      </c>
      <c r="G41" s="56" t="n">
        <f aca="false">(F41-F40)/F40</f>
        <v>0.0189092276493735</v>
      </c>
    </row>
    <row r="42" customFormat="false" ht="15" hidden="false" customHeight="true" outlineLevel="0" collapsed="false">
      <c r="A42" s="52" t="n">
        <v>13</v>
      </c>
      <c r="B42" s="52" t="s">
        <v>215</v>
      </c>
      <c r="C42" s="53" t="n">
        <v>46315</v>
      </c>
      <c r="D42" s="53" t="n">
        <v>11731</v>
      </c>
      <c r="E42" s="53" t="n">
        <v>19029</v>
      </c>
      <c r="F42" s="53" t="n">
        <f aca="false">C42+D42+E42</f>
        <v>77075</v>
      </c>
      <c r="G42" s="57" t="n">
        <f aca="false">(F42-F41)/F41</f>
        <v>0.0158958204273155</v>
      </c>
    </row>
    <row r="43" customFormat="false" ht="15" hidden="false" customHeight="true" outlineLevel="0" collapsed="false">
      <c r="A43" s="54" t="n">
        <v>14</v>
      </c>
      <c r="B43" s="54" t="s">
        <v>216</v>
      </c>
      <c r="C43" s="55" t="n">
        <v>43803</v>
      </c>
      <c r="D43" s="55" t="n">
        <v>12693</v>
      </c>
      <c r="E43" s="55" t="n">
        <v>17882</v>
      </c>
      <c r="F43" s="55" t="n">
        <f aca="false">C43+D43+E43</f>
        <v>74378</v>
      </c>
      <c r="G43" s="56" t="n">
        <f aca="false">(F43-F42)/F42</f>
        <v>-0.0349918910152449</v>
      </c>
    </row>
    <row r="44" customFormat="false" ht="15" hidden="false" customHeight="true" outlineLevel="0" collapsed="false">
      <c r="A44" s="52" t="n">
        <v>15</v>
      </c>
      <c r="B44" s="52" t="s">
        <v>217</v>
      </c>
      <c r="C44" s="53" t="n">
        <v>43370</v>
      </c>
      <c r="D44" s="53" t="n">
        <v>11594</v>
      </c>
      <c r="E44" s="53" t="n">
        <v>17566</v>
      </c>
      <c r="F44" s="53" t="n">
        <f aca="false">C44+D44+E44</f>
        <v>72530</v>
      </c>
      <c r="G44" s="57" t="n">
        <f aca="false">(F44-F43)/F43</f>
        <v>-0.0248460566296486</v>
      </c>
    </row>
    <row r="45" customFormat="false" ht="15" hidden="false" customHeight="true" outlineLevel="0" collapsed="false">
      <c r="A45" s="54" t="n">
        <v>16</v>
      </c>
      <c r="B45" s="54" t="s">
        <v>218</v>
      </c>
      <c r="C45" s="55" t="n">
        <v>45040</v>
      </c>
      <c r="D45" s="55" t="n">
        <v>11743</v>
      </c>
      <c r="E45" s="55" t="n">
        <v>18380</v>
      </c>
      <c r="F45" s="55" t="n">
        <f aca="false">C45+D45+E45</f>
        <v>75163</v>
      </c>
      <c r="G45" s="56" t="n">
        <f aca="false">(F45-F44)/F44</f>
        <v>0.0363022197711292</v>
      </c>
    </row>
    <row r="46" customFormat="false" ht="15" hidden="false" customHeight="true" outlineLevel="0" collapsed="false">
      <c r="A46" s="52" t="n">
        <v>17</v>
      </c>
      <c r="B46" s="52" t="s">
        <v>219</v>
      </c>
      <c r="C46" s="53" t="n">
        <v>46825</v>
      </c>
      <c r="D46" s="53" t="n">
        <v>11932</v>
      </c>
      <c r="E46" s="53" t="n">
        <v>18147</v>
      </c>
      <c r="F46" s="53" t="n">
        <f aca="false">C46+D46+E46</f>
        <v>76904</v>
      </c>
      <c r="G46" s="57" t="n">
        <f aca="false">(F46-F45)/F45</f>
        <v>0.0231629924297859</v>
      </c>
    </row>
    <row r="47" customFormat="false" ht="15" hidden="false" customHeight="true" outlineLevel="0" collapsed="false">
      <c r="A47" s="54" t="n">
        <v>18</v>
      </c>
      <c r="B47" s="54" t="s">
        <v>220</v>
      </c>
      <c r="C47" s="55" t="n">
        <v>46238</v>
      </c>
      <c r="D47" s="55" t="n">
        <v>11560</v>
      </c>
      <c r="E47" s="55" t="n">
        <v>18686</v>
      </c>
      <c r="F47" s="55" t="n">
        <f aca="false">C47+D47+E47</f>
        <v>76484</v>
      </c>
      <c r="G47" s="56" t="n">
        <f aca="false">(F47-F46)/F46</f>
        <v>-0.00546135441589514</v>
      </c>
    </row>
    <row r="48" customFormat="false" ht="15" hidden="false" customHeight="true" outlineLevel="0" collapsed="false">
      <c r="A48" s="52" t="n">
        <v>19</v>
      </c>
      <c r="B48" s="52" t="s">
        <v>221</v>
      </c>
      <c r="C48" s="53" t="n">
        <v>47518</v>
      </c>
      <c r="D48" s="53" t="n">
        <v>12278</v>
      </c>
      <c r="E48" s="53" t="n">
        <v>19911</v>
      </c>
      <c r="F48" s="53" t="n">
        <f aca="false">C48+D48+E48</f>
        <v>79707</v>
      </c>
      <c r="G48" s="57" t="n">
        <f aca="false">(F48-F47)/F47</f>
        <v>0.0421395324512316</v>
      </c>
    </row>
    <row r="49" customFormat="false" ht="15" hidden="false" customHeight="true" outlineLevel="0" collapsed="false">
      <c r="A49" s="54" t="n">
        <v>20</v>
      </c>
      <c r="B49" s="54" t="s">
        <v>222</v>
      </c>
      <c r="C49" s="55" t="n">
        <v>47721</v>
      </c>
      <c r="D49" s="55" t="n">
        <v>11979</v>
      </c>
      <c r="E49" s="55" t="n">
        <v>17936</v>
      </c>
      <c r="F49" s="55" t="n">
        <f aca="false">C49+D49+E49</f>
        <v>77636</v>
      </c>
      <c r="G49" s="56" t="n">
        <f aca="false">(F49-F48)/F48</f>
        <v>-0.0259826614977355</v>
      </c>
    </row>
    <row r="50" customFormat="false" ht="15" hidden="false" customHeight="true" outlineLevel="0" collapsed="false">
      <c r="A50" s="52" t="n">
        <v>21</v>
      </c>
      <c r="B50" s="52" t="s">
        <v>223</v>
      </c>
      <c r="C50" s="53" t="n">
        <v>45169</v>
      </c>
      <c r="D50" s="53" t="n">
        <v>11610</v>
      </c>
      <c r="E50" s="53" t="n">
        <v>19020</v>
      </c>
      <c r="F50" s="53" t="n">
        <f aca="false">C50+D50+E50</f>
        <v>75799</v>
      </c>
      <c r="G50" s="57" t="n">
        <f aca="false">(F50-F49)/F49</f>
        <v>-0.0236617033335051</v>
      </c>
    </row>
    <row r="51" customFormat="false" ht="15" hidden="false" customHeight="true" outlineLevel="0" collapsed="false">
      <c r="A51" s="54" t="n">
        <v>22</v>
      </c>
      <c r="B51" s="54" t="s">
        <v>224</v>
      </c>
      <c r="C51" s="55" t="n">
        <v>44156</v>
      </c>
      <c r="D51" s="55" t="n">
        <v>12019</v>
      </c>
      <c r="E51" s="55" t="n">
        <v>17836</v>
      </c>
      <c r="F51" s="55" t="n">
        <f aca="false">C51+D51+E51</f>
        <v>74011</v>
      </c>
      <c r="G51" s="56" t="n">
        <f aca="false">(F51-F50)/F50</f>
        <v>-0.0235887016979116</v>
      </c>
    </row>
    <row r="52" customFormat="false" ht="15" hidden="false" customHeight="true" outlineLevel="0" collapsed="false">
      <c r="A52" s="52" t="n">
        <v>23</v>
      </c>
      <c r="B52" s="52" t="s">
        <v>225</v>
      </c>
      <c r="C52" s="53" t="n">
        <v>48115</v>
      </c>
      <c r="D52" s="53" t="n">
        <v>10739</v>
      </c>
      <c r="E52" s="53" t="n">
        <v>17967</v>
      </c>
      <c r="F52" s="53" t="n">
        <f aca="false">C52+D52+E52</f>
        <v>76821</v>
      </c>
      <c r="G52" s="57" t="n">
        <f aca="false">(F52-F51)/F51</f>
        <v>0.0379673291807975</v>
      </c>
    </row>
    <row r="53" customFormat="false" ht="15" hidden="false" customHeight="true" outlineLevel="0" collapsed="false">
      <c r="A53" s="54" t="n">
        <v>24</v>
      </c>
      <c r="B53" s="54" t="s">
        <v>226</v>
      </c>
      <c r="C53" s="55" t="n">
        <v>45521</v>
      </c>
      <c r="D53" s="55" t="n">
        <v>12412</v>
      </c>
      <c r="E53" s="55" t="n">
        <v>18570</v>
      </c>
      <c r="F53" s="55" t="n">
        <f aca="false">C53+D53+E53</f>
        <v>76503</v>
      </c>
      <c r="G53" s="56" t="n">
        <f aca="false">(F53-F52)/F52</f>
        <v>-0.00413949310735346</v>
      </c>
    </row>
    <row r="54" customFormat="false" ht="15" hidden="false" customHeight="true" outlineLevel="0" collapsed="false">
      <c r="A54" s="52" t="n">
        <v>25</v>
      </c>
      <c r="B54" s="52" t="s">
        <v>227</v>
      </c>
      <c r="C54" s="53" t="n">
        <v>45345</v>
      </c>
      <c r="D54" s="53" t="n">
        <v>13060</v>
      </c>
      <c r="E54" s="53" t="n">
        <v>18475</v>
      </c>
      <c r="F54" s="53" t="n">
        <f aca="false">C54+D54+E54</f>
        <v>76880</v>
      </c>
      <c r="G54" s="57" t="n">
        <f aca="false">(F54-F53)/F53</f>
        <v>0.00492791132373894</v>
      </c>
    </row>
    <row r="55" customFormat="false" ht="15" hidden="false" customHeight="true" outlineLevel="0" collapsed="false">
      <c r="A55" s="54" t="n">
        <v>26</v>
      </c>
      <c r="B55" s="54" t="s">
        <v>228</v>
      </c>
      <c r="C55" s="55" t="n">
        <v>51417</v>
      </c>
      <c r="D55" s="55" t="n">
        <v>10667</v>
      </c>
      <c r="E55" s="55" t="n">
        <v>18706</v>
      </c>
      <c r="F55" s="55" t="n">
        <f aca="false">C55+D55+E55</f>
        <v>80790</v>
      </c>
      <c r="G55" s="56" t="n">
        <f aca="false">(F55-F54)/F54</f>
        <v>0.0508584807492196</v>
      </c>
    </row>
  </sheetData>
  <mergeCells count="4">
    <mergeCell ref="A1:J1"/>
    <mergeCell ref="A2:J2"/>
    <mergeCell ref="A4:J4"/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6"/>
  </cols>
  <sheetData>
    <row r="1" customFormat="false" ht="31.5" hidden="false" customHeight="true" outlineLevel="0" collapsed="false">
      <c r="A1" s="7" t="s">
        <v>229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230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9.5" hidden="false" customHeight="true" outlineLevel="0" collapsed="false">
      <c r="A4" s="9" t="s">
        <v>231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21.75" hidden="false" customHeight="true" outlineLevel="0" collapsed="false">
      <c r="A5" s="19" t="s">
        <v>232</v>
      </c>
      <c r="B5" s="19" t="s">
        <v>233</v>
      </c>
      <c r="C5" s="19" t="s">
        <v>163</v>
      </c>
      <c r="D5" s="19" t="s">
        <v>234</v>
      </c>
      <c r="E5" s="19" t="s">
        <v>235</v>
      </c>
      <c r="F5" s="19" t="s">
        <v>236</v>
      </c>
      <c r="G5" s="19" t="s">
        <v>237</v>
      </c>
      <c r="H5" s="19" t="s">
        <v>238</v>
      </c>
      <c r="I5" s="19" t="s">
        <v>239</v>
      </c>
    </row>
    <row r="6" customFormat="false" ht="19.5" hidden="false" customHeight="true" outlineLevel="0" collapsed="false">
      <c r="A6" s="42" t="s">
        <v>240</v>
      </c>
      <c r="B6" s="42" t="s">
        <v>241</v>
      </c>
      <c r="C6" s="42" t="s">
        <v>242</v>
      </c>
      <c r="D6" s="58" t="n">
        <v>0.221</v>
      </c>
      <c r="E6" s="58" t="n">
        <v>0.18</v>
      </c>
      <c r="F6" s="43" t="n">
        <v>4.21</v>
      </c>
      <c r="G6" s="43" t="n">
        <v>3.18</v>
      </c>
      <c r="H6" s="58" t="n">
        <v>0.008</v>
      </c>
      <c r="I6" s="42" t="s">
        <v>243</v>
      </c>
    </row>
    <row r="7" customFormat="false" ht="19.5" hidden="false" customHeight="true" outlineLevel="0" collapsed="false">
      <c r="A7" s="37" t="s">
        <v>244</v>
      </c>
      <c r="B7" s="37" t="s">
        <v>245</v>
      </c>
      <c r="C7" s="37" t="s">
        <v>103</v>
      </c>
      <c r="D7" s="59" t="n">
        <v>0.142</v>
      </c>
      <c r="E7" s="59" t="n">
        <v>0.123</v>
      </c>
      <c r="F7" s="38" t="n">
        <v>3.45</v>
      </c>
      <c r="G7" s="38" t="n">
        <v>2.67</v>
      </c>
      <c r="H7" s="59" t="n">
        <v>-0.003</v>
      </c>
      <c r="I7" s="37" t="s">
        <v>246</v>
      </c>
    </row>
    <row r="8" customFormat="false" ht="19.5" hidden="false" customHeight="true" outlineLevel="0" collapsed="false">
      <c r="A8" s="37" t="s">
        <v>244</v>
      </c>
      <c r="B8" s="37" t="s">
        <v>245</v>
      </c>
      <c r="C8" s="37" t="s">
        <v>90</v>
      </c>
      <c r="D8" s="59" t="n">
        <v>0.189</v>
      </c>
      <c r="E8" s="59" t="n">
        <v>0.161</v>
      </c>
      <c r="F8" s="38" t="n">
        <v>1.98</v>
      </c>
      <c r="G8" s="38" t="n">
        <v>1.54</v>
      </c>
      <c r="H8" s="59" t="n">
        <v>0.001</v>
      </c>
      <c r="I8" s="37" t="s">
        <v>246</v>
      </c>
    </row>
    <row r="9" customFormat="false" ht="19.5" hidden="false" customHeight="true" outlineLevel="0" collapsed="false">
      <c r="A9" s="37" t="s">
        <v>244</v>
      </c>
      <c r="B9" s="37" t="s">
        <v>245</v>
      </c>
      <c r="C9" s="37" t="s">
        <v>85</v>
      </c>
      <c r="D9" s="59" t="n">
        <v>0.157</v>
      </c>
      <c r="E9" s="59" t="n">
        <v>0.138</v>
      </c>
      <c r="F9" s="38" t="n">
        <v>2.76</v>
      </c>
      <c r="G9" s="38" t="n">
        <v>2.11</v>
      </c>
      <c r="H9" s="59" t="n">
        <v>-0.005</v>
      </c>
      <c r="I9" s="37" t="s">
        <v>246</v>
      </c>
    </row>
    <row r="10" customFormat="false" ht="19.5" hidden="false" customHeight="true" outlineLevel="0" collapsed="false">
      <c r="A10" s="47" t="s">
        <v>247</v>
      </c>
      <c r="B10" s="47" t="s">
        <v>248</v>
      </c>
      <c r="C10" s="47" t="s">
        <v>103</v>
      </c>
      <c r="D10" s="60" t="n">
        <v>0.101</v>
      </c>
      <c r="E10" s="60" t="n">
        <v>0.087</v>
      </c>
      <c r="F10" s="48" t="n">
        <v>2.89</v>
      </c>
      <c r="G10" s="48" t="n">
        <v>2.12</v>
      </c>
      <c r="H10" s="60" t="n">
        <v>-0.001</v>
      </c>
      <c r="I10" s="47" t="s">
        <v>249</v>
      </c>
    </row>
    <row r="11" customFormat="false" ht="19.5" hidden="false" customHeight="true" outlineLevel="0" collapsed="false">
      <c r="A11" s="47" t="s">
        <v>247</v>
      </c>
      <c r="B11" s="47" t="s">
        <v>248</v>
      </c>
      <c r="C11" s="47" t="s">
        <v>90</v>
      </c>
      <c r="D11" s="60" t="n">
        <v>0.132</v>
      </c>
      <c r="E11" s="60" t="n">
        <v>0.114</v>
      </c>
      <c r="F11" s="48" t="n">
        <v>1.56</v>
      </c>
      <c r="G11" s="48" t="n">
        <v>1.23</v>
      </c>
      <c r="H11" s="60" t="n">
        <v>0.002</v>
      </c>
      <c r="I11" s="47" t="s">
        <v>249</v>
      </c>
    </row>
    <row r="12" customFormat="false" ht="19.5" hidden="false" customHeight="true" outlineLevel="0" collapsed="false">
      <c r="A12" s="47" t="s">
        <v>247</v>
      </c>
      <c r="B12" s="47" t="s">
        <v>248</v>
      </c>
      <c r="C12" s="47" t="s">
        <v>85</v>
      </c>
      <c r="D12" s="60" t="n">
        <v>0.118</v>
      </c>
      <c r="E12" s="60" t="n">
        <v>0.102</v>
      </c>
      <c r="F12" s="48" t="n">
        <v>2.23</v>
      </c>
      <c r="G12" s="48" t="n">
        <v>1.78</v>
      </c>
      <c r="H12" s="60" t="n">
        <v>-0.004</v>
      </c>
      <c r="I12" s="47" t="s">
        <v>249</v>
      </c>
    </row>
    <row r="13" customFormat="false" ht="19.5" hidden="false" customHeight="true" outlineLevel="0" collapsed="false">
      <c r="A13" s="61" t="s">
        <v>250</v>
      </c>
      <c r="B13" s="61" t="s">
        <v>251</v>
      </c>
      <c r="C13" s="61" t="s">
        <v>242</v>
      </c>
      <c r="D13" s="62" t="n">
        <v>0.104</v>
      </c>
      <c r="E13" s="62" t="n">
        <v>0.094</v>
      </c>
      <c r="F13" s="63" t="n">
        <v>2.67</v>
      </c>
      <c r="G13" s="63" t="n">
        <v>1.98</v>
      </c>
      <c r="H13" s="62" t="n">
        <v>-0.001</v>
      </c>
      <c r="I13" s="61" t="s">
        <v>252</v>
      </c>
    </row>
    <row r="16" customFormat="false" ht="19.5" hidden="false" customHeight="true" outlineLevel="0" collapsed="false">
      <c r="A16" s="9" t="s">
        <v>253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21.75" hidden="false" customHeight="true" outlineLevel="0" collapsed="false">
      <c r="A17" s="19" t="s">
        <v>12</v>
      </c>
      <c r="B17" s="19" t="s">
        <v>161</v>
      </c>
      <c r="C17" s="19" t="s">
        <v>164</v>
      </c>
      <c r="D17" s="19" t="s">
        <v>254</v>
      </c>
      <c r="E17" s="19" t="s">
        <v>255</v>
      </c>
      <c r="F17" s="19" t="s">
        <v>256</v>
      </c>
      <c r="G17" s="19" t="s">
        <v>257</v>
      </c>
      <c r="H17" s="19" t="s">
        <v>258</v>
      </c>
      <c r="I17" s="19" t="s">
        <v>259</v>
      </c>
      <c r="J17" s="19" t="s">
        <v>260</v>
      </c>
    </row>
    <row r="18" customFormat="false" ht="15" hidden="false" customHeight="true" outlineLevel="0" collapsed="false">
      <c r="A18" s="52" t="s">
        <v>261</v>
      </c>
      <c r="B18" s="52" t="s">
        <v>170</v>
      </c>
      <c r="C18" s="52" t="s">
        <v>112</v>
      </c>
      <c r="D18" s="64" t="n">
        <v>6.5</v>
      </c>
      <c r="E18" s="64" t="n">
        <v>6.2</v>
      </c>
      <c r="F18" s="64" t="n">
        <v>5.1</v>
      </c>
      <c r="G18" s="64" t="n">
        <v>7.3</v>
      </c>
      <c r="H18" s="64" t="n">
        <v>4.3</v>
      </c>
      <c r="I18" s="64" t="n">
        <v>8.1</v>
      </c>
      <c r="J18" s="57" t="n">
        <f aca="false">D18/E18-1</f>
        <v>0.0483870967741935</v>
      </c>
    </row>
    <row r="19" customFormat="false" ht="15" hidden="false" customHeight="true" outlineLevel="0" collapsed="false">
      <c r="A19" s="54" t="s">
        <v>262</v>
      </c>
      <c r="B19" s="54" t="s">
        <v>170</v>
      </c>
      <c r="C19" s="54" t="s">
        <v>112</v>
      </c>
      <c r="D19" s="65" t="n">
        <v>7.6</v>
      </c>
      <c r="E19" s="65" t="n">
        <v>7.9</v>
      </c>
      <c r="F19" s="65" t="n">
        <v>6.5</v>
      </c>
      <c r="G19" s="65" t="n">
        <v>9.3</v>
      </c>
      <c r="H19" s="65" t="n">
        <v>5.5</v>
      </c>
      <c r="I19" s="65" t="n">
        <v>10.3</v>
      </c>
      <c r="J19" s="56" t="n">
        <f aca="false">D19/E19-1</f>
        <v>-0.0379746835443039</v>
      </c>
    </row>
    <row r="20" customFormat="false" ht="15" hidden="false" customHeight="true" outlineLevel="0" collapsed="false">
      <c r="A20" s="52" t="s">
        <v>263</v>
      </c>
      <c r="B20" s="52" t="s">
        <v>170</v>
      </c>
      <c r="C20" s="52" t="s">
        <v>112</v>
      </c>
      <c r="D20" s="64" t="n">
        <v>8.9</v>
      </c>
      <c r="E20" s="64" t="n">
        <v>6.9</v>
      </c>
      <c r="F20" s="64" t="n">
        <v>5.7</v>
      </c>
      <c r="G20" s="64" t="n">
        <v>8.1</v>
      </c>
      <c r="H20" s="64" t="n">
        <v>4.8</v>
      </c>
      <c r="I20" s="64" t="n">
        <v>9</v>
      </c>
      <c r="J20" s="57" t="n">
        <f aca="false">D20/E20-1</f>
        <v>0.289855072463768</v>
      </c>
    </row>
    <row r="21" customFormat="false" ht="15" hidden="false" customHeight="true" outlineLevel="0" collapsed="false">
      <c r="A21" s="54" t="s">
        <v>264</v>
      </c>
      <c r="B21" s="54" t="s">
        <v>170</v>
      </c>
      <c r="C21" s="54" t="s">
        <v>112</v>
      </c>
      <c r="D21" s="65" t="n">
        <v>8.5</v>
      </c>
      <c r="E21" s="65" t="n">
        <v>8.8</v>
      </c>
      <c r="F21" s="65" t="n">
        <v>7.2</v>
      </c>
      <c r="G21" s="65" t="n">
        <v>10.4</v>
      </c>
      <c r="H21" s="65" t="n">
        <v>6.2</v>
      </c>
      <c r="I21" s="65" t="n">
        <v>11.4</v>
      </c>
      <c r="J21" s="56" t="n">
        <f aca="false">D21/E21-1</f>
        <v>-0.0340909090909092</v>
      </c>
    </row>
    <row r="22" customFormat="false" ht="15" hidden="false" customHeight="true" outlineLevel="0" collapsed="false">
      <c r="A22" s="52" t="s">
        <v>265</v>
      </c>
      <c r="B22" s="52" t="s">
        <v>170</v>
      </c>
      <c r="C22" s="52" t="s">
        <v>112</v>
      </c>
      <c r="D22" s="64" t="n">
        <v>13.8</v>
      </c>
      <c r="E22" s="64" t="n">
        <v>13.6</v>
      </c>
      <c r="F22" s="64" t="n">
        <v>11.2</v>
      </c>
      <c r="G22" s="64" t="n">
        <v>16</v>
      </c>
      <c r="H22" s="64" t="n">
        <v>9.5</v>
      </c>
      <c r="I22" s="64" t="n">
        <v>17.7</v>
      </c>
      <c r="J22" s="57" t="n">
        <f aca="false">D22/E22-1</f>
        <v>0.0147058823529413</v>
      </c>
    </row>
    <row r="23" customFormat="false" ht="15" hidden="false" customHeight="true" outlineLevel="0" collapsed="false">
      <c r="A23" s="54" t="s">
        <v>266</v>
      </c>
      <c r="B23" s="54" t="s">
        <v>170</v>
      </c>
      <c r="C23" s="54" t="s">
        <v>112</v>
      </c>
      <c r="D23" s="65" t="n">
        <v>18.9</v>
      </c>
      <c r="E23" s="65" t="n">
        <v>15.9</v>
      </c>
      <c r="F23" s="65" t="n">
        <v>13</v>
      </c>
      <c r="G23" s="65" t="n">
        <v>18.8</v>
      </c>
      <c r="H23" s="65" t="n">
        <v>11.1</v>
      </c>
      <c r="I23" s="65" t="n">
        <v>20.7</v>
      </c>
      <c r="J23" s="56" t="n">
        <f aca="false">D23/E23-1</f>
        <v>0.188679245283019</v>
      </c>
    </row>
    <row r="24" customFormat="false" ht="15" hidden="false" customHeight="true" outlineLevel="0" collapsed="false">
      <c r="A24" s="52" t="s">
        <v>267</v>
      </c>
      <c r="B24" s="52" t="s">
        <v>170</v>
      </c>
      <c r="C24" s="52" t="s">
        <v>112</v>
      </c>
      <c r="D24" s="64" t="n">
        <v>9.9</v>
      </c>
      <c r="E24" s="64" t="n">
        <v>11.1</v>
      </c>
      <c r="F24" s="64" t="n">
        <v>9.1</v>
      </c>
      <c r="G24" s="64" t="n">
        <v>13.1</v>
      </c>
      <c r="H24" s="64" t="n">
        <v>7.8</v>
      </c>
      <c r="I24" s="64" t="n">
        <v>14.4</v>
      </c>
      <c r="J24" s="57" t="n">
        <f aca="false">D24/E24-1</f>
        <v>-0.108108108108108</v>
      </c>
    </row>
    <row r="25" customFormat="false" ht="15" hidden="false" customHeight="true" outlineLevel="0" collapsed="false">
      <c r="A25" s="54" t="s">
        <v>268</v>
      </c>
      <c r="B25" s="54" t="s">
        <v>170</v>
      </c>
      <c r="C25" s="54" t="s">
        <v>112</v>
      </c>
      <c r="D25" s="65" t="n">
        <v>7</v>
      </c>
      <c r="E25" s="65" t="n">
        <v>7.5</v>
      </c>
      <c r="F25" s="65" t="n">
        <v>6.1</v>
      </c>
      <c r="G25" s="65" t="n">
        <v>8.8</v>
      </c>
      <c r="H25" s="65" t="n">
        <v>5.2</v>
      </c>
      <c r="I25" s="65" t="n">
        <v>9.8</v>
      </c>
      <c r="J25" s="56" t="n">
        <f aca="false">D25/E25-1</f>
        <v>-0.0666666666666667</v>
      </c>
    </row>
    <row r="26" customFormat="false" ht="15" hidden="false" customHeight="true" outlineLevel="0" collapsed="false">
      <c r="A26" s="52" t="s">
        <v>269</v>
      </c>
      <c r="B26" s="52" t="s">
        <v>170</v>
      </c>
      <c r="C26" s="52" t="s">
        <v>112</v>
      </c>
      <c r="D26" s="64" t="n">
        <v>17.1</v>
      </c>
      <c r="E26" s="64" t="n">
        <v>16.7</v>
      </c>
      <c r="F26" s="64" t="n">
        <v>13.7</v>
      </c>
      <c r="G26" s="64" t="n">
        <v>19.7</v>
      </c>
      <c r="H26" s="64" t="n">
        <v>11.7</v>
      </c>
      <c r="I26" s="64" t="n">
        <v>21.7</v>
      </c>
      <c r="J26" s="57" t="n">
        <f aca="false">D26/E26-1</f>
        <v>0.0239520958083834</v>
      </c>
    </row>
    <row r="27" customFormat="false" ht="15" hidden="false" customHeight="true" outlineLevel="0" collapsed="false">
      <c r="A27" s="54" t="s">
        <v>270</v>
      </c>
      <c r="B27" s="54" t="s">
        <v>170</v>
      </c>
      <c r="C27" s="54" t="s">
        <v>112</v>
      </c>
      <c r="D27" s="65" t="n">
        <v>4.5</v>
      </c>
      <c r="E27" s="65" t="n">
        <v>4.7</v>
      </c>
      <c r="F27" s="65" t="n">
        <v>3.9</v>
      </c>
      <c r="G27" s="65" t="n">
        <v>5.5</v>
      </c>
      <c r="H27" s="65" t="n">
        <v>3.3</v>
      </c>
      <c r="I27" s="65" t="n">
        <v>6.1</v>
      </c>
      <c r="J27" s="56" t="n">
        <f aca="false">D27/E27-1</f>
        <v>-0.0425531914893618</v>
      </c>
    </row>
    <row r="28" customFormat="false" ht="15" hidden="false" customHeight="true" outlineLevel="0" collapsed="false">
      <c r="A28" s="52" t="s">
        <v>271</v>
      </c>
      <c r="B28" s="52" t="s">
        <v>170</v>
      </c>
      <c r="C28" s="52" t="s">
        <v>112</v>
      </c>
      <c r="D28" s="64" t="n">
        <v>11.1</v>
      </c>
      <c r="E28" s="64" t="n">
        <v>12.9</v>
      </c>
      <c r="F28" s="64" t="n">
        <v>10.6</v>
      </c>
      <c r="G28" s="64" t="n">
        <v>15.2</v>
      </c>
      <c r="H28" s="64" t="n">
        <v>9</v>
      </c>
      <c r="I28" s="64" t="n">
        <v>16.8</v>
      </c>
      <c r="J28" s="57" t="n">
        <f aca="false">D28/E28-1</f>
        <v>-0.13953488372093</v>
      </c>
    </row>
    <row r="29" customFormat="false" ht="15" hidden="false" customHeight="true" outlineLevel="0" collapsed="false">
      <c r="A29" s="54" t="s">
        <v>272</v>
      </c>
      <c r="B29" s="54" t="s">
        <v>170</v>
      </c>
      <c r="C29" s="54" t="s">
        <v>112</v>
      </c>
      <c r="D29" s="65" t="n">
        <v>15.2</v>
      </c>
      <c r="E29" s="65" t="n">
        <v>15.6</v>
      </c>
      <c r="F29" s="65" t="n">
        <v>12.8</v>
      </c>
      <c r="G29" s="65" t="n">
        <v>18.4</v>
      </c>
      <c r="H29" s="65" t="n">
        <v>10.9</v>
      </c>
      <c r="I29" s="65" t="n">
        <v>20.3</v>
      </c>
      <c r="J29" s="56" t="n">
        <f aca="false">D29/E29-1</f>
        <v>-0.0256410256410257</v>
      </c>
    </row>
    <row r="30" customFormat="false" ht="15" hidden="false" customHeight="true" outlineLevel="0" collapsed="false">
      <c r="A30" s="52" t="s">
        <v>273</v>
      </c>
      <c r="B30" s="52" t="s">
        <v>170</v>
      </c>
      <c r="C30" s="52" t="s">
        <v>112</v>
      </c>
      <c r="D30" s="64" t="n">
        <v>4.4</v>
      </c>
      <c r="E30" s="64" t="n">
        <v>4.6</v>
      </c>
      <c r="F30" s="64" t="n">
        <v>3.8</v>
      </c>
      <c r="G30" s="64" t="n">
        <v>5.4</v>
      </c>
      <c r="H30" s="64" t="n">
        <v>3.2</v>
      </c>
      <c r="I30" s="64" t="n">
        <v>6</v>
      </c>
      <c r="J30" s="57" t="n">
        <f aca="false">D30/E30-1</f>
        <v>-0.0434782608695651</v>
      </c>
    </row>
    <row r="31" customFormat="false" ht="15" hidden="false" customHeight="true" outlineLevel="0" collapsed="false">
      <c r="A31" s="54" t="s">
        <v>274</v>
      </c>
      <c r="B31" s="54" t="s">
        <v>170</v>
      </c>
      <c r="C31" s="54" t="s">
        <v>112</v>
      </c>
      <c r="D31" s="65" t="n">
        <v>9.3</v>
      </c>
      <c r="E31" s="65" t="n">
        <v>8.7</v>
      </c>
      <c r="F31" s="65" t="n">
        <v>7.1</v>
      </c>
      <c r="G31" s="65" t="n">
        <v>10.3</v>
      </c>
      <c r="H31" s="65" t="n">
        <v>6.1</v>
      </c>
      <c r="I31" s="65" t="n">
        <v>11.3</v>
      </c>
      <c r="J31" s="56" t="n">
        <f aca="false">D31/E31-1</f>
        <v>0.0689655172413795</v>
      </c>
    </row>
    <row r="32" customFormat="false" ht="15" hidden="false" customHeight="true" outlineLevel="0" collapsed="false">
      <c r="A32" s="52" t="s">
        <v>275</v>
      </c>
      <c r="B32" s="52" t="s">
        <v>170</v>
      </c>
      <c r="C32" s="52" t="s">
        <v>112</v>
      </c>
      <c r="D32" s="52"/>
      <c r="E32" s="64" t="n">
        <v>5.8</v>
      </c>
      <c r="F32" s="64" t="n">
        <v>4.8</v>
      </c>
      <c r="G32" s="64" t="n">
        <v>6.8</v>
      </c>
      <c r="H32" s="64" t="n">
        <v>4.1</v>
      </c>
      <c r="I32" s="64" t="n">
        <v>7.5</v>
      </c>
      <c r="J32" s="52" t="s">
        <v>276</v>
      </c>
    </row>
    <row r="33" customFormat="false" ht="15" hidden="false" customHeight="true" outlineLevel="0" collapsed="false">
      <c r="A33" s="54" t="s">
        <v>277</v>
      </c>
      <c r="B33" s="54" t="s">
        <v>170</v>
      </c>
      <c r="C33" s="54" t="s">
        <v>112</v>
      </c>
      <c r="D33" s="54"/>
      <c r="E33" s="65" t="n">
        <v>17.7</v>
      </c>
      <c r="F33" s="65" t="n">
        <v>14.5</v>
      </c>
      <c r="G33" s="65" t="n">
        <v>20.9</v>
      </c>
      <c r="H33" s="65" t="n">
        <v>12.4</v>
      </c>
      <c r="I33" s="65" t="n">
        <v>23</v>
      </c>
      <c r="J33" s="54" t="s">
        <v>276</v>
      </c>
    </row>
    <row r="34" customFormat="false" ht="15" hidden="false" customHeight="true" outlineLevel="0" collapsed="false">
      <c r="A34" s="52" t="s">
        <v>278</v>
      </c>
      <c r="B34" s="52" t="s">
        <v>170</v>
      </c>
      <c r="C34" s="52" t="s">
        <v>112</v>
      </c>
      <c r="D34" s="52"/>
      <c r="E34" s="64" t="n">
        <v>6.3</v>
      </c>
      <c r="F34" s="64" t="n">
        <v>5.2</v>
      </c>
      <c r="G34" s="64" t="n">
        <v>7.4</v>
      </c>
      <c r="H34" s="64" t="n">
        <v>4.4</v>
      </c>
      <c r="I34" s="64" t="n">
        <v>8.2</v>
      </c>
      <c r="J34" s="52" t="s">
        <v>276</v>
      </c>
    </row>
    <row r="35" customFormat="false" ht="15" hidden="false" customHeight="true" outlineLevel="0" collapsed="false">
      <c r="A35" s="54" t="s">
        <v>279</v>
      </c>
      <c r="B35" s="54" t="s">
        <v>170</v>
      </c>
      <c r="C35" s="54" t="s">
        <v>112</v>
      </c>
      <c r="D35" s="54"/>
      <c r="E35" s="65" t="n">
        <v>10.2</v>
      </c>
      <c r="F35" s="65" t="n">
        <v>8.4</v>
      </c>
      <c r="G35" s="65" t="n">
        <v>12</v>
      </c>
      <c r="H35" s="65" t="n">
        <v>7.1</v>
      </c>
      <c r="I35" s="65" t="n">
        <v>13.3</v>
      </c>
      <c r="J35" s="54" t="s">
        <v>276</v>
      </c>
    </row>
    <row r="36" customFormat="false" ht="15" hidden="false" customHeight="true" outlineLevel="0" collapsed="false">
      <c r="A36" s="52" t="s">
        <v>280</v>
      </c>
      <c r="B36" s="52" t="s">
        <v>170</v>
      </c>
      <c r="C36" s="52" t="s">
        <v>112</v>
      </c>
      <c r="D36" s="52"/>
      <c r="E36" s="64" t="n">
        <v>13.9</v>
      </c>
      <c r="F36" s="64" t="n">
        <v>11.4</v>
      </c>
      <c r="G36" s="64" t="n">
        <v>16.4</v>
      </c>
      <c r="H36" s="64" t="n">
        <v>9.7</v>
      </c>
      <c r="I36" s="64" t="n">
        <v>18.1</v>
      </c>
      <c r="J36" s="52" t="s">
        <v>276</v>
      </c>
    </row>
    <row r="37" customFormat="false" ht="15" hidden="false" customHeight="true" outlineLevel="0" collapsed="false">
      <c r="A37" s="54" t="s">
        <v>281</v>
      </c>
      <c r="B37" s="54" t="s">
        <v>170</v>
      </c>
      <c r="C37" s="54" t="s">
        <v>112</v>
      </c>
      <c r="D37" s="54"/>
      <c r="E37" s="65" t="n">
        <v>11.9</v>
      </c>
      <c r="F37" s="65" t="n">
        <v>9.8</v>
      </c>
      <c r="G37" s="65" t="n">
        <v>14</v>
      </c>
      <c r="H37" s="65" t="n">
        <v>8.3</v>
      </c>
      <c r="I37" s="65" t="n">
        <v>15.5</v>
      </c>
      <c r="J37" s="54" t="s">
        <v>276</v>
      </c>
    </row>
    <row r="38" customFormat="false" ht="15" hidden="false" customHeight="true" outlineLevel="0" collapsed="false">
      <c r="A38" s="52" t="s">
        <v>282</v>
      </c>
      <c r="B38" s="52" t="s">
        <v>170</v>
      </c>
      <c r="C38" s="52" t="s">
        <v>112</v>
      </c>
      <c r="D38" s="52"/>
      <c r="E38" s="64" t="n">
        <v>5.6</v>
      </c>
      <c r="F38" s="64" t="n">
        <v>4.6</v>
      </c>
      <c r="G38" s="64" t="n">
        <v>6.6</v>
      </c>
      <c r="H38" s="64" t="n">
        <v>3.9</v>
      </c>
      <c r="I38" s="64" t="n">
        <v>7.3</v>
      </c>
      <c r="J38" s="52" t="s">
        <v>276</v>
      </c>
    </row>
    <row r="39" customFormat="false" ht="15" hidden="false" customHeight="true" outlineLevel="0" collapsed="false">
      <c r="A39" s="54" t="s">
        <v>283</v>
      </c>
      <c r="B39" s="54" t="s">
        <v>170</v>
      </c>
      <c r="C39" s="54" t="s">
        <v>112</v>
      </c>
      <c r="D39" s="54"/>
      <c r="E39" s="65" t="n">
        <v>17.2</v>
      </c>
      <c r="F39" s="65" t="n">
        <v>14.1</v>
      </c>
      <c r="G39" s="65" t="n">
        <v>20.3</v>
      </c>
      <c r="H39" s="65" t="n">
        <v>12</v>
      </c>
      <c r="I39" s="65" t="n">
        <v>22.4</v>
      </c>
      <c r="J39" s="54" t="s">
        <v>276</v>
      </c>
    </row>
    <row r="40" customFormat="false" ht="15" hidden="false" customHeight="true" outlineLevel="0" collapsed="false">
      <c r="A40" s="52" t="s">
        <v>284</v>
      </c>
      <c r="B40" s="52" t="s">
        <v>170</v>
      </c>
      <c r="C40" s="52" t="s">
        <v>112</v>
      </c>
      <c r="D40" s="52"/>
      <c r="E40" s="64" t="n">
        <v>13.7</v>
      </c>
      <c r="F40" s="64" t="n">
        <v>11.2</v>
      </c>
      <c r="G40" s="64" t="n">
        <v>16.2</v>
      </c>
      <c r="H40" s="64" t="n">
        <v>9.6</v>
      </c>
      <c r="I40" s="64" t="n">
        <v>17.8</v>
      </c>
      <c r="J40" s="52" t="s">
        <v>276</v>
      </c>
    </row>
    <row r="41" customFormat="false" ht="15" hidden="false" customHeight="true" outlineLevel="0" collapsed="false">
      <c r="A41" s="54" t="s">
        <v>285</v>
      </c>
      <c r="B41" s="54" t="s">
        <v>170</v>
      </c>
      <c r="C41" s="54" t="s">
        <v>112</v>
      </c>
      <c r="D41" s="54"/>
      <c r="E41" s="65" t="n">
        <v>6.1</v>
      </c>
      <c r="F41" s="65" t="n">
        <v>5</v>
      </c>
      <c r="G41" s="65" t="n">
        <v>7.2</v>
      </c>
      <c r="H41" s="65" t="n">
        <v>4.3</v>
      </c>
      <c r="I41" s="65" t="n">
        <v>7.9</v>
      </c>
      <c r="J41" s="54" t="s">
        <v>276</v>
      </c>
    </row>
    <row r="42" customFormat="false" ht="15" hidden="false" customHeight="true" outlineLevel="0" collapsed="false">
      <c r="A42" s="52" t="s">
        <v>286</v>
      </c>
      <c r="B42" s="52" t="s">
        <v>170</v>
      </c>
      <c r="C42" s="52" t="s">
        <v>112</v>
      </c>
      <c r="D42" s="52"/>
      <c r="E42" s="64" t="n">
        <v>4.5</v>
      </c>
      <c r="F42" s="64" t="n">
        <v>3.7</v>
      </c>
      <c r="G42" s="64" t="n">
        <v>5.3</v>
      </c>
      <c r="H42" s="64" t="n">
        <v>3.1</v>
      </c>
      <c r="I42" s="64" t="n">
        <v>5.9</v>
      </c>
      <c r="J42" s="52" t="s">
        <v>276</v>
      </c>
    </row>
    <row r="43" customFormat="false" ht="15" hidden="false" customHeight="true" outlineLevel="0" collapsed="false">
      <c r="A43" s="54" t="s">
        <v>287</v>
      </c>
      <c r="B43" s="54" t="s">
        <v>170</v>
      </c>
      <c r="C43" s="54" t="s">
        <v>112</v>
      </c>
      <c r="D43" s="54"/>
      <c r="E43" s="65" t="n">
        <v>9.2</v>
      </c>
      <c r="F43" s="65" t="n">
        <v>7.5</v>
      </c>
      <c r="G43" s="65" t="n">
        <v>10.9</v>
      </c>
      <c r="H43" s="65" t="n">
        <v>6.4</v>
      </c>
      <c r="I43" s="65" t="n">
        <v>12</v>
      </c>
      <c r="J43" s="54" t="s">
        <v>276</v>
      </c>
    </row>
    <row r="44" customFormat="false" ht="15" hidden="false" customHeight="true" outlineLevel="0" collapsed="false">
      <c r="A44" s="52" t="s">
        <v>288</v>
      </c>
      <c r="B44" s="52" t="s">
        <v>170</v>
      </c>
      <c r="C44" s="52" t="s">
        <v>112</v>
      </c>
      <c r="D44" s="52"/>
      <c r="E44" s="64" t="n">
        <v>11.7</v>
      </c>
      <c r="F44" s="64" t="n">
        <v>9.6</v>
      </c>
      <c r="G44" s="64" t="n">
        <v>13.8</v>
      </c>
      <c r="H44" s="64" t="n">
        <v>8.2</v>
      </c>
      <c r="I44" s="64" t="n">
        <v>15.2</v>
      </c>
      <c r="J44" s="52" t="s">
        <v>276</v>
      </c>
    </row>
    <row r="45" customFormat="false" ht="15" hidden="false" customHeight="true" outlineLevel="0" collapsed="false">
      <c r="A45" s="54" t="s">
        <v>289</v>
      </c>
      <c r="B45" s="54" t="s">
        <v>170</v>
      </c>
      <c r="C45" s="54" t="s">
        <v>112</v>
      </c>
      <c r="D45" s="54"/>
      <c r="E45" s="65" t="n">
        <v>10</v>
      </c>
      <c r="F45" s="65" t="n">
        <v>8.2</v>
      </c>
      <c r="G45" s="65" t="n">
        <v>11.8</v>
      </c>
      <c r="H45" s="65" t="n">
        <v>7</v>
      </c>
      <c r="I45" s="65" t="n">
        <v>13</v>
      </c>
      <c r="J45" s="54" t="s">
        <v>276</v>
      </c>
    </row>
  </sheetData>
  <mergeCells count="4">
    <mergeCell ref="A1:J1"/>
    <mergeCell ref="A2:J2"/>
    <mergeCell ref="A4:J4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9" min="6" style="1" width="14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1.5" hidden="false" customHeight="true" outlineLevel="0" collapsed="false">
      <c r="A1" s="7" t="s">
        <v>290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291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9.5" hidden="false" customHeight="true" outlineLevel="0" collapsed="false">
      <c r="A4" s="9" t="s">
        <v>292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21.75" hidden="false" customHeight="true" outlineLevel="0" collapsed="false">
      <c r="A5" s="66" t="s">
        <v>293</v>
      </c>
      <c r="B5" s="66"/>
      <c r="C5" s="66"/>
      <c r="D5" s="67" t="n">
        <v>50</v>
      </c>
      <c r="E5" s="67"/>
    </row>
    <row r="6" customFormat="false" ht="21.75" hidden="false" customHeight="true" outlineLevel="0" collapsed="false">
      <c r="A6" s="66" t="s">
        <v>294</v>
      </c>
      <c r="B6" s="66"/>
      <c r="C6" s="66"/>
      <c r="D6" s="67" t="n">
        <v>8</v>
      </c>
      <c r="E6" s="67"/>
    </row>
    <row r="7" customFormat="false" ht="21.75" hidden="false" customHeight="true" outlineLevel="0" collapsed="false">
      <c r="A7" s="66" t="s">
        <v>295</v>
      </c>
      <c r="B7" s="66"/>
      <c r="C7" s="66"/>
      <c r="D7" s="68" t="n">
        <v>0.25</v>
      </c>
      <c r="E7" s="68"/>
    </row>
    <row r="8" customFormat="false" ht="21.75" hidden="false" customHeight="true" outlineLevel="0" collapsed="false">
      <c r="A8" s="66" t="s">
        <v>296</v>
      </c>
      <c r="B8" s="66"/>
      <c r="C8" s="66"/>
      <c r="D8" s="69" t="n">
        <v>3</v>
      </c>
      <c r="E8" s="69"/>
    </row>
    <row r="9" customFormat="false" ht="21.75" hidden="false" customHeight="true" outlineLevel="0" collapsed="false">
      <c r="A9" s="66" t="s">
        <v>297</v>
      </c>
      <c r="B9" s="66"/>
      <c r="C9" s="66"/>
      <c r="D9" s="70" t="n">
        <v>1.65</v>
      </c>
      <c r="E9" s="70"/>
    </row>
    <row r="10" customFormat="false" ht="21.75" hidden="false" customHeight="true" outlineLevel="0" collapsed="false">
      <c r="A10" s="66" t="s">
        <v>298</v>
      </c>
      <c r="B10" s="66"/>
      <c r="C10" s="66"/>
      <c r="D10" s="69" t="n">
        <v>365</v>
      </c>
      <c r="E10" s="69"/>
    </row>
    <row r="12" customFormat="false" ht="19.5" hidden="false" customHeight="true" outlineLevel="0" collapsed="false">
      <c r="A12" s="9" t="s">
        <v>299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21.75" hidden="false" customHeight="true" outlineLevel="0" collapsed="false">
      <c r="A13" s="19" t="s">
        <v>161</v>
      </c>
      <c r="B13" s="19" t="s">
        <v>163</v>
      </c>
      <c r="C13" s="19" t="s">
        <v>164</v>
      </c>
      <c r="D13" s="19" t="s">
        <v>300</v>
      </c>
      <c r="E13" s="19" t="s">
        <v>166</v>
      </c>
      <c r="F13" s="19" t="s">
        <v>301</v>
      </c>
      <c r="G13" s="19" t="s">
        <v>302</v>
      </c>
      <c r="H13" s="19" t="s">
        <v>303</v>
      </c>
      <c r="I13" s="19" t="s">
        <v>304</v>
      </c>
      <c r="J13" s="19" t="s">
        <v>305</v>
      </c>
      <c r="K13" s="19" t="s">
        <v>239</v>
      </c>
    </row>
    <row r="14" customFormat="false" ht="15" hidden="false" customHeight="true" outlineLevel="0" collapsed="false">
      <c r="A14" s="52" t="s">
        <v>306</v>
      </c>
      <c r="B14" s="52" t="s">
        <v>90</v>
      </c>
      <c r="C14" s="52" t="s">
        <v>142</v>
      </c>
      <c r="D14" s="64" t="n">
        <v>18.3</v>
      </c>
      <c r="E14" s="71" t="n">
        <v>14.23</v>
      </c>
      <c r="F14" s="71" t="n">
        <v>16.28</v>
      </c>
      <c r="G14" s="52" t="n">
        <f aca="false">ROUND(SQRT(2*D14*365*50/(8*0.25)),0)</f>
        <v>578</v>
      </c>
      <c r="H14" s="52" t="n">
        <f aca="false">ROUND(1.65*F14*SQRT(3),0)</f>
        <v>47</v>
      </c>
      <c r="I14" s="52" t="n">
        <f aca="false">ROUND(D14*3+H14,0)</f>
        <v>102</v>
      </c>
      <c r="J14" s="72" t="n">
        <f aca="false">ROUND((G14/2+H14)*8*0.25,2)</f>
        <v>672</v>
      </c>
      <c r="K14" s="50" t="s">
        <v>307</v>
      </c>
    </row>
    <row r="15" customFormat="false" ht="15" hidden="false" customHeight="true" outlineLevel="0" collapsed="false">
      <c r="A15" s="54" t="s">
        <v>308</v>
      </c>
      <c r="B15" s="54" t="s">
        <v>103</v>
      </c>
      <c r="C15" s="54" t="s">
        <v>100</v>
      </c>
      <c r="D15" s="65" t="n">
        <v>14.3</v>
      </c>
      <c r="E15" s="73" t="n">
        <v>7.32</v>
      </c>
      <c r="F15" s="73" t="n">
        <v>7.5</v>
      </c>
      <c r="G15" s="54" t="n">
        <f aca="false">ROUND(SQRT(2*D15*365*50/(8*0.25)),0)</f>
        <v>511</v>
      </c>
      <c r="H15" s="54" t="n">
        <f aca="false">ROUND(1.65*F15*SQRT(3),0)</f>
        <v>21</v>
      </c>
      <c r="I15" s="54" t="n">
        <f aca="false">ROUND(D15*3+H15,0)</f>
        <v>64</v>
      </c>
      <c r="J15" s="74" t="n">
        <f aca="false">ROUND((G15/2+H15)*8*0.25,2)</f>
        <v>553</v>
      </c>
      <c r="K15" s="50" t="s">
        <v>307</v>
      </c>
    </row>
    <row r="16" customFormat="false" ht="15" hidden="false" customHeight="true" outlineLevel="0" collapsed="false">
      <c r="A16" s="52" t="s">
        <v>309</v>
      </c>
      <c r="B16" s="52" t="s">
        <v>103</v>
      </c>
      <c r="C16" s="52" t="s">
        <v>86</v>
      </c>
      <c r="D16" s="64" t="n">
        <v>18.7</v>
      </c>
      <c r="E16" s="71" t="n">
        <v>8.27</v>
      </c>
      <c r="F16" s="71" t="n">
        <v>7.15</v>
      </c>
      <c r="G16" s="52" t="n">
        <f aca="false">ROUND(SQRT(2*D16*365*50/(8*0.25)),0)</f>
        <v>584</v>
      </c>
      <c r="H16" s="52" t="n">
        <f aca="false">ROUND(1.65*F16*SQRT(3),0)</f>
        <v>20</v>
      </c>
      <c r="I16" s="52" t="n">
        <f aca="false">ROUND(D16*3+H16,0)</f>
        <v>76</v>
      </c>
      <c r="J16" s="72" t="n">
        <f aca="false">ROUND((G16/2+H16)*8*0.25,2)</f>
        <v>624</v>
      </c>
      <c r="K16" s="50" t="s">
        <v>307</v>
      </c>
    </row>
    <row r="17" customFormat="false" ht="15" hidden="false" customHeight="true" outlineLevel="0" collapsed="false">
      <c r="A17" s="54" t="s">
        <v>310</v>
      </c>
      <c r="B17" s="54" t="s">
        <v>90</v>
      </c>
      <c r="C17" s="54" t="s">
        <v>112</v>
      </c>
      <c r="D17" s="65" t="n">
        <v>6</v>
      </c>
      <c r="E17" s="73" t="n">
        <v>5.13</v>
      </c>
      <c r="F17" s="73" t="n">
        <v>5.71</v>
      </c>
      <c r="G17" s="54" t="n">
        <f aca="false">ROUND(SQRT(2*D17*365*50/(8*0.25)),0)</f>
        <v>331</v>
      </c>
      <c r="H17" s="54" t="n">
        <f aca="false">ROUND(1.65*F17*SQRT(3),0)</f>
        <v>16</v>
      </c>
      <c r="I17" s="54" t="n">
        <f aca="false">ROUND(D17*3+H17,0)</f>
        <v>34</v>
      </c>
      <c r="J17" s="74" t="n">
        <f aca="false">ROUND((G17/2+H17)*8*0.25,2)</f>
        <v>363</v>
      </c>
      <c r="K17" s="50" t="s">
        <v>307</v>
      </c>
    </row>
    <row r="18" customFormat="false" ht="15" hidden="false" customHeight="true" outlineLevel="0" collapsed="false">
      <c r="A18" s="52" t="s">
        <v>311</v>
      </c>
      <c r="B18" s="52" t="s">
        <v>103</v>
      </c>
      <c r="C18" s="52" t="s">
        <v>100</v>
      </c>
      <c r="D18" s="64" t="n">
        <v>7.5</v>
      </c>
      <c r="E18" s="71" t="n">
        <v>5.79</v>
      </c>
      <c r="F18" s="71" t="n">
        <v>4.88</v>
      </c>
      <c r="G18" s="52" t="n">
        <f aca="false">ROUND(SQRT(2*D18*365*50/(8*0.25)),0)</f>
        <v>370</v>
      </c>
      <c r="H18" s="52" t="n">
        <f aca="false">ROUND(1.65*F18*SQRT(3),0)</f>
        <v>14</v>
      </c>
      <c r="I18" s="52" t="n">
        <f aca="false">ROUND(D18*3+H18,0)</f>
        <v>37</v>
      </c>
      <c r="J18" s="72" t="n">
        <f aca="false">ROUND((G18/2+H18)*8*0.25,2)</f>
        <v>398</v>
      </c>
      <c r="K18" s="50" t="s">
        <v>307</v>
      </c>
    </row>
    <row r="19" customFormat="false" ht="15" hidden="false" customHeight="true" outlineLevel="0" collapsed="false">
      <c r="A19" s="54" t="s">
        <v>312</v>
      </c>
      <c r="B19" s="54" t="s">
        <v>90</v>
      </c>
      <c r="C19" s="54" t="s">
        <v>100</v>
      </c>
      <c r="D19" s="65" t="n">
        <v>6.4</v>
      </c>
      <c r="E19" s="73" t="n">
        <v>5.45</v>
      </c>
      <c r="F19" s="73" t="n">
        <v>5.12</v>
      </c>
      <c r="G19" s="54" t="n">
        <f aca="false">ROUND(SQRT(2*D19*365*50/(8*0.25)),0)</f>
        <v>342</v>
      </c>
      <c r="H19" s="54" t="n">
        <f aca="false">ROUND(1.65*F19*SQRT(3),0)</f>
        <v>15</v>
      </c>
      <c r="I19" s="54" t="n">
        <f aca="false">ROUND(D19*3+H19,0)</f>
        <v>34</v>
      </c>
      <c r="J19" s="74" t="n">
        <f aca="false">ROUND((G19/2+H19)*8*0.25,2)</f>
        <v>372</v>
      </c>
      <c r="K19" s="50" t="s">
        <v>307</v>
      </c>
    </row>
    <row r="20" customFormat="false" ht="15" hidden="false" customHeight="true" outlineLevel="0" collapsed="false">
      <c r="A20" s="52" t="s">
        <v>313</v>
      </c>
      <c r="B20" s="52" t="s">
        <v>90</v>
      </c>
      <c r="C20" s="52" t="s">
        <v>112</v>
      </c>
      <c r="D20" s="64" t="n">
        <v>14.2</v>
      </c>
      <c r="E20" s="71" t="n">
        <v>7.65</v>
      </c>
      <c r="F20" s="71" t="n">
        <v>6.97</v>
      </c>
      <c r="G20" s="52" t="n">
        <f aca="false">ROUND(SQRT(2*D20*365*50/(8*0.25)),0)</f>
        <v>509</v>
      </c>
      <c r="H20" s="52" t="n">
        <f aca="false">ROUND(1.65*F20*SQRT(3),0)</f>
        <v>20</v>
      </c>
      <c r="I20" s="52" t="n">
        <f aca="false">ROUND(D20*3+H20,0)</f>
        <v>63</v>
      </c>
      <c r="J20" s="72" t="n">
        <f aca="false">ROUND((G20/2+H20)*8*0.25,2)</f>
        <v>549</v>
      </c>
      <c r="K20" s="50" t="s">
        <v>307</v>
      </c>
    </row>
    <row r="21" customFormat="false" ht="15" hidden="false" customHeight="true" outlineLevel="0" collapsed="false">
      <c r="A21" s="54" t="s">
        <v>314</v>
      </c>
      <c r="B21" s="54" t="s">
        <v>90</v>
      </c>
      <c r="C21" s="54" t="s">
        <v>142</v>
      </c>
      <c r="D21" s="65" t="n">
        <v>13.9</v>
      </c>
      <c r="E21" s="73" t="n">
        <v>7.5</v>
      </c>
      <c r="F21" s="73" t="n">
        <v>8.94</v>
      </c>
      <c r="G21" s="54" t="n">
        <f aca="false">ROUND(SQRT(2*D21*365*50/(8*0.25)),0)</f>
        <v>504</v>
      </c>
      <c r="H21" s="54" t="n">
        <f aca="false">ROUND(1.65*F21*SQRT(3),0)</f>
        <v>26</v>
      </c>
      <c r="I21" s="54" t="n">
        <f aca="false">ROUND(D21*3+H21,0)</f>
        <v>68</v>
      </c>
      <c r="J21" s="74" t="n">
        <f aca="false">ROUND((G21/2+H21)*8*0.25,2)</f>
        <v>556</v>
      </c>
      <c r="K21" s="50" t="s">
        <v>307</v>
      </c>
    </row>
    <row r="22" customFormat="false" ht="15" hidden="false" customHeight="true" outlineLevel="0" collapsed="false">
      <c r="A22" s="52" t="s">
        <v>315</v>
      </c>
      <c r="B22" s="52" t="s">
        <v>85</v>
      </c>
      <c r="C22" s="52" t="s">
        <v>112</v>
      </c>
      <c r="D22" s="64" t="n">
        <v>5</v>
      </c>
      <c r="E22" s="71" t="n">
        <v>4.41</v>
      </c>
      <c r="F22" s="71" t="n">
        <v>3.84</v>
      </c>
      <c r="G22" s="52" t="n">
        <f aca="false">ROUND(SQRT(2*D22*365*50/(8*0.25)),0)</f>
        <v>302</v>
      </c>
      <c r="H22" s="52" t="n">
        <f aca="false">ROUND(1.65*F22*SQRT(3),0)</f>
        <v>11</v>
      </c>
      <c r="I22" s="52" t="n">
        <f aca="false">ROUND(D22*3+H22,0)</f>
        <v>26</v>
      </c>
      <c r="J22" s="72" t="n">
        <f aca="false">ROUND((G22/2+H22)*8*0.25,2)</f>
        <v>324</v>
      </c>
      <c r="K22" s="50" t="s">
        <v>307</v>
      </c>
    </row>
    <row r="23" customFormat="false" ht="15" hidden="false" customHeight="true" outlineLevel="0" collapsed="false">
      <c r="A23" s="54" t="s">
        <v>316</v>
      </c>
      <c r="B23" s="54" t="s">
        <v>103</v>
      </c>
      <c r="C23" s="54" t="s">
        <v>96</v>
      </c>
      <c r="D23" s="65" t="n">
        <v>13.1</v>
      </c>
      <c r="E23" s="73" t="n">
        <v>6.65</v>
      </c>
      <c r="F23" s="73" t="n">
        <v>7.41</v>
      </c>
      <c r="G23" s="54" t="n">
        <f aca="false">ROUND(SQRT(2*D23*365*50/(8*0.25)),0)</f>
        <v>489</v>
      </c>
      <c r="H23" s="54" t="n">
        <f aca="false">ROUND(1.65*F23*SQRT(3),0)</f>
        <v>21</v>
      </c>
      <c r="I23" s="54" t="n">
        <f aca="false">ROUND(D23*3+H23,0)</f>
        <v>60</v>
      </c>
      <c r="J23" s="74" t="n">
        <f aca="false">ROUND((G23/2+H23)*8*0.25,2)</f>
        <v>531</v>
      </c>
      <c r="K23" s="50" t="s">
        <v>307</v>
      </c>
    </row>
    <row r="24" customFormat="false" ht="15" hidden="false" customHeight="true" outlineLevel="0" collapsed="false">
      <c r="A24" s="52" t="s">
        <v>317</v>
      </c>
      <c r="B24" s="52" t="s">
        <v>103</v>
      </c>
      <c r="C24" s="52" t="s">
        <v>94</v>
      </c>
      <c r="D24" s="64" t="n">
        <v>5</v>
      </c>
      <c r="E24" s="71" t="n">
        <v>4.2</v>
      </c>
      <c r="F24" s="71" t="n">
        <v>3.68</v>
      </c>
      <c r="G24" s="52" t="n">
        <f aca="false">ROUND(SQRT(2*D24*365*50/(8*0.25)),0)</f>
        <v>302</v>
      </c>
      <c r="H24" s="52" t="n">
        <f aca="false">ROUND(1.65*F24*SQRT(3),0)</f>
        <v>11</v>
      </c>
      <c r="I24" s="52" t="n">
        <f aca="false">ROUND(D24*3+H24,0)</f>
        <v>26</v>
      </c>
      <c r="J24" s="72" t="n">
        <f aca="false">ROUND((G24/2+H24)*8*0.25,2)</f>
        <v>324</v>
      </c>
      <c r="K24" s="50" t="s">
        <v>307</v>
      </c>
    </row>
    <row r="25" customFormat="false" ht="15" hidden="false" customHeight="true" outlineLevel="0" collapsed="false">
      <c r="A25" s="54" t="s">
        <v>318</v>
      </c>
      <c r="B25" s="54" t="s">
        <v>90</v>
      </c>
      <c r="C25" s="54" t="s">
        <v>112</v>
      </c>
      <c r="D25" s="65" t="n">
        <v>11.8</v>
      </c>
      <c r="E25" s="73" t="n">
        <v>9.25</v>
      </c>
      <c r="F25" s="73" t="n">
        <v>9.94</v>
      </c>
      <c r="G25" s="54" t="n">
        <f aca="false">ROUND(SQRT(2*D25*365*50/(8*0.25)),0)</f>
        <v>464</v>
      </c>
      <c r="H25" s="54" t="n">
        <f aca="false">ROUND(1.65*F25*SQRT(3),0)</f>
        <v>28</v>
      </c>
      <c r="I25" s="54" t="n">
        <f aca="false">ROUND(D25*3+H25,0)</f>
        <v>63</v>
      </c>
      <c r="J25" s="74" t="n">
        <f aca="false">ROUND((G25/2+H25)*8*0.25,2)</f>
        <v>520</v>
      </c>
      <c r="K25" s="50" t="s">
        <v>307</v>
      </c>
    </row>
    <row r="26" customFormat="false" ht="15" hidden="false" customHeight="true" outlineLevel="0" collapsed="false">
      <c r="A26" s="52" t="s">
        <v>319</v>
      </c>
      <c r="B26" s="52" t="s">
        <v>85</v>
      </c>
      <c r="C26" s="52" t="s">
        <v>142</v>
      </c>
      <c r="D26" s="64" t="n">
        <v>10.3</v>
      </c>
      <c r="E26" s="71" t="n">
        <v>8.95</v>
      </c>
      <c r="F26" s="71" t="n">
        <v>10.46</v>
      </c>
      <c r="G26" s="52" t="n">
        <f aca="false">ROUND(SQRT(2*D26*365*50/(8*0.25)),0)</f>
        <v>434</v>
      </c>
      <c r="H26" s="52" t="n">
        <f aca="false">ROUND(1.65*F26*SQRT(3),0)</f>
        <v>30</v>
      </c>
      <c r="I26" s="52" t="n">
        <f aca="false">ROUND(D26*3+H26,0)</f>
        <v>61</v>
      </c>
      <c r="J26" s="72" t="n">
        <f aca="false">ROUND((G26/2+H26)*8*0.25,2)</f>
        <v>494</v>
      </c>
      <c r="K26" s="50" t="s">
        <v>307</v>
      </c>
    </row>
    <row r="27" customFormat="false" ht="15" hidden="false" customHeight="true" outlineLevel="0" collapsed="false">
      <c r="A27" s="54" t="s">
        <v>320</v>
      </c>
      <c r="B27" s="54" t="s">
        <v>85</v>
      </c>
      <c r="C27" s="54" t="s">
        <v>96</v>
      </c>
      <c r="D27" s="65" t="n">
        <v>15.2</v>
      </c>
      <c r="E27" s="73" t="n">
        <v>7.3</v>
      </c>
      <c r="F27" s="73" t="n">
        <v>6.74</v>
      </c>
      <c r="G27" s="54" t="n">
        <f aca="false">ROUND(SQRT(2*D27*365*50/(8*0.25)),0)</f>
        <v>527</v>
      </c>
      <c r="H27" s="54" t="n">
        <f aca="false">ROUND(1.65*F27*SQRT(3),0)</f>
        <v>19</v>
      </c>
      <c r="I27" s="54" t="n">
        <f aca="false">ROUND(D27*3+H27,0)</f>
        <v>65</v>
      </c>
      <c r="J27" s="74" t="n">
        <f aca="false">ROUND((G27/2+H27)*8*0.25,2)</f>
        <v>565</v>
      </c>
      <c r="K27" s="50" t="s">
        <v>307</v>
      </c>
    </row>
    <row r="28" customFormat="false" ht="15" hidden="false" customHeight="true" outlineLevel="0" collapsed="false">
      <c r="A28" s="52" t="s">
        <v>113</v>
      </c>
      <c r="B28" s="52" t="s">
        <v>103</v>
      </c>
      <c r="C28" s="52" t="s">
        <v>132</v>
      </c>
      <c r="D28" s="64" t="n">
        <v>14.9</v>
      </c>
      <c r="E28" s="71" t="n">
        <v>9.43</v>
      </c>
      <c r="F28" s="71" t="n">
        <v>8.27</v>
      </c>
      <c r="G28" s="52" t="n">
        <f aca="false">ROUND(SQRT(2*D28*365*50/(8*0.25)),0)</f>
        <v>521</v>
      </c>
      <c r="H28" s="52" t="n">
        <f aca="false">ROUND(1.65*F28*SQRT(3),0)</f>
        <v>24</v>
      </c>
      <c r="I28" s="52" t="n">
        <f aca="false">ROUND(D28*3+H28,0)</f>
        <v>69</v>
      </c>
      <c r="J28" s="72" t="n">
        <f aca="false">ROUND((G28/2+H28)*8*0.25,2)</f>
        <v>569</v>
      </c>
      <c r="K28" s="50" t="s">
        <v>307</v>
      </c>
    </row>
    <row r="29" customFormat="false" ht="15" hidden="false" customHeight="true" outlineLevel="0" collapsed="false">
      <c r="A29" s="54" t="s">
        <v>321</v>
      </c>
      <c r="B29" s="54" t="s">
        <v>85</v>
      </c>
      <c r="C29" s="54" t="s">
        <v>86</v>
      </c>
      <c r="D29" s="65" t="n">
        <v>13.5</v>
      </c>
      <c r="E29" s="73" t="n">
        <v>6.49</v>
      </c>
      <c r="F29" s="73" t="n">
        <v>6.61</v>
      </c>
      <c r="G29" s="54" t="n">
        <f aca="false">ROUND(SQRT(2*D29*365*50/(8*0.25)),0)</f>
        <v>496</v>
      </c>
      <c r="H29" s="54" t="n">
        <f aca="false">ROUND(1.65*F29*SQRT(3),0)</f>
        <v>19</v>
      </c>
      <c r="I29" s="54" t="n">
        <f aca="false">ROUND(D29*3+H29,0)</f>
        <v>60</v>
      </c>
      <c r="J29" s="74" t="n">
        <f aca="false">ROUND((G29/2+H29)*8*0.25,2)</f>
        <v>534</v>
      </c>
      <c r="K29" s="50" t="s">
        <v>307</v>
      </c>
    </row>
    <row r="30" customFormat="false" ht="15" hidden="false" customHeight="true" outlineLevel="0" collapsed="false">
      <c r="A30" s="52" t="s">
        <v>322</v>
      </c>
      <c r="B30" s="52" t="s">
        <v>90</v>
      </c>
      <c r="C30" s="52" t="s">
        <v>123</v>
      </c>
      <c r="D30" s="64" t="n">
        <v>6.6</v>
      </c>
      <c r="E30" s="71" t="n">
        <v>5.09</v>
      </c>
      <c r="F30" s="71" t="n">
        <v>5.31</v>
      </c>
      <c r="G30" s="52" t="n">
        <f aca="false">ROUND(SQRT(2*D30*365*50/(8*0.25)),0)</f>
        <v>347</v>
      </c>
      <c r="H30" s="52" t="n">
        <f aca="false">ROUND(1.65*F30*SQRT(3),0)</f>
        <v>15</v>
      </c>
      <c r="I30" s="52" t="n">
        <f aca="false">ROUND(D30*3+H30,0)</f>
        <v>35</v>
      </c>
      <c r="J30" s="72" t="n">
        <f aca="false">ROUND((G30/2+H30)*8*0.25,2)</f>
        <v>377</v>
      </c>
      <c r="K30" s="50" t="s">
        <v>307</v>
      </c>
    </row>
    <row r="31" customFormat="false" ht="15" hidden="false" customHeight="true" outlineLevel="0" collapsed="false">
      <c r="A31" s="54" t="s">
        <v>323</v>
      </c>
      <c r="B31" s="54" t="s">
        <v>103</v>
      </c>
      <c r="C31" s="54" t="s">
        <v>91</v>
      </c>
      <c r="D31" s="65" t="n">
        <v>10.5</v>
      </c>
      <c r="E31" s="73" t="n">
        <v>4.5</v>
      </c>
      <c r="F31" s="73" t="n">
        <v>4.45</v>
      </c>
      <c r="G31" s="54" t="n">
        <f aca="false">ROUND(SQRT(2*D31*365*50/(8*0.25)),0)</f>
        <v>438</v>
      </c>
      <c r="H31" s="54" t="n">
        <f aca="false">ROUND(1.65*F31*SQRT(3),0)</f>
        <v>13</v>
      </c>
      <c r="I31" s="54" t="n">
        <f aca="false">ROUND(D31*3+H31,0)</f>
        <v>45</v>
      </c>
      <c r="J31" s="74" t="n">
        <f aca="false">ROUND((G31/2+H31)*8*0.25,2)</f>
        <v>464</v>
      </c>
      <c r="K31" s="40" t="s">
        <v>324</v>
      </c>
    </row>
    <row r="32" customFormat="false" ht="15" hidden="false" customHeight="true" outlineLevel="0" collapsed="false">
      <c r="A32" s="52" t="s">
        <v>325</v>
      </c>
      <c r="B32" s="52" t="s">
        <v>85</v>
      </c>
      <c r="C32" s="52" t="s">
        <v>96</v>
      </c>
      <c r="D32" s="64" t="n">
        <v>7.8</v>
      </c>
      <c r="E32" s="71" t="n">
        <v>5.45</v>
      </c>
      <c r="F32" s="71" t="n">
        <v>5.71</v>
      </c>
      <c r="G32" s="52" t="n">
        <f aca="false">ROUND(SQRT(2*D32*365*50/(8*0.25)),0)</f>
        <v>377</v>
      </c>
      <c r="H32" s="52" t="n">
        <f aca="false">ROUND(1.65*F32*SQRT(3),0)</f>
        <v>16</v>
      </c>
      <c r="I32" s="52" t="n">
        <f aca="false">ROUND(D32*3+H32,0)</f>
        <v>39</v>
      </c>
      <c r="J32" s="72" t="n">
        <f aca="false">ROUND((G32/2+H32)*8*0.25,2)</f>
        <v>409</v>
      </c>
      <c r="K32" s="50" t="s">
        <v>307</v>
      </c>
    </row>
    <row r="33" customFormat="false" ht="15" hidden="false" customHeight="true" outlineLevel="0" collapsed="false">
      <c r="A33" s="54" t="s">
        <v>194</v>
      </c>
      <c r="B33" s="54" t="s">
        <v>90</v>
      </c>
      <c r="C33" s="54" t="s">
        <v>123</v>
      </c>
      <c r="D33" s="65" t="n">
        <v>6.8</v>
      </c>
      <c r="E33" s="73" t="n">
        <v>2.85</v>
      </c>
      <c r="F33" s="73" t="n">
        <v>2.31</v>
      </c>
      <c r="G33" s="54" t="n">
        <f aca="false">ROUND(SQRT(2*D33*365*50/(8*0.25)),0)</f>
        <v>352</v>
      </c>
      <c r="H33" s="54" t="n">
        <f aca="false">ROUND(1.65*F33*SQRT(3),0)</f>
        <v>7</v>
      </c>
      <c r="I33" s="54" t="n">
        <f aca="false">ROUND(D33*3+H33,0)</f>
        <v>27</v>
      </c>
      <c r="J33" s="74" t="n">
        <f aca="false">ROUND((G33/2+H33)*8*0.25,2)</f>
        <v>366</v>
      </c>
      <c r="K33" s="50" t="s">
        <v>307</v>
      </c>
    </row>
    <row r="34" customFormat="false" ht="15" hidden="false" customHeight="true" outlineLevel="0" collapsed="false">
      <c r="A34" s="52" t="s">
        <v>326</v>
      </c>
      <c r="B34" s="52" t="s">
        <v>90</v>
      </c>
      <c r="C34" s="52" t="s">
        <v>117</v>
      </c>
      <c r="D34" s="64" t="n">
        <v>17.4</v>
      </c>
      <c r="E34" s="71" t="n">
        <v>5.98</v>
      </c>
      <c r="F34" s="71" t="n">
        <v>5.78</v>
      </c>
      <c r="G34" s="52" t="n">
        <f aca="false">ROUND(SQRT(2*D34*365*50/(8*0.25)),0)</f>
        <v>564</v>
      </c>
      <c r="H34" s="52" t="n">
        <f aca="false">ROUND(1.65*F34*SQRT(3),0)</f>
        <v>17</v>
      </c>
      <c r="I34" s="52" t="n">
        <f aca="false">ROUND(D34*3+H34,0)</f>
        <v>69</v>
      </c>
      <c r="J34" s="72" t="n">
        <f aca="false">ROUND((G34/2+H34)*8*0.25,2)</f>
        <v>598</v>
      </c>
      <c r="K34" s="40" t="s">
        <v>324</v>
      </c>
    </row>
    <row r="35" customFormat="false" ht="15" hidden="false" customHeight="true" outlineLevel="0" collapsed="false">
      <c r="A35" s="54" t="s">
        <v>327</v>
      </c>
      <c r="B35" s="54" t="s">
        <v>85</v>
      </c>
      <c r="C35" s="54" t="s">
        <v>132</v>
      </c>
      <c r="D35" s="65" t="n">
        <v>11.4</v>
      </c>
      <c r="E35" s="73" t="n">
        <v>5.09</v>
      </c>
      <c r="F35" s="73" t="n">
        <v>5.41</v>
      </c>
      <c r="G35" s="54" t="n">
        <f aca="false">ROUND(SQRT(2*D35*365*50/(8*0.25)),0)</f>
        <v>456</v>
      </c>
      <c r="H35" s="54" t="n">
        <f aca="false">ROUND(1.65*F35*SQRT(3),0)</f>
        <v>15</v>
      </c>
      <c r="I35" s="54" t="n">
        <f aca="false">ROUND(D35*3+H35,0)</f>
        <v>49</v>
      </c>
      <c r="J35" s="74" t="n">
        <f aca="false">ROUND((G35/2+H35)*8*0.25,2)</f>
        <v>486</v>
      </c>
      <c r="K35" s="50" t="s">
        <v>307</v>
      </c>
    </row>
    <row r="36" customFormat="false" ht="15" hidden="false" customHeight="true" outlineLevel="0" collapsed="false">
      <c r="A36" s="52" t="s">
        <v>328</v>
      </c>
      <c r="B36" s="52" t="s">
        <v>90</v>
      </c>
      <c r="C36" s="52" t="s">
        <v>132</v>
      </c>
      <c r="D36" s="64" t="n">
        <v>6.7</v>
      </c>
      <c r="E36" s="71" t="n">
        <v>5.24</v>
      </c>
      <c r="F36" s="71" t="n">
        <v>5.65</v>
      </c>
      <c r="G36" s="52" t="n">
        <f aca="false">ROUND(SQRT(2*D36*365*50/(8*0.25)),0)</f>
        <v>350</v>
      </c>
      <c r="H36" s="52" t="n">
        <f aca="false">ROUND(1.65*F36*SQRT(3),0)</f>
        <v>16</v>
      </c>
      <c r="I36" s="52" t="n">
        <f aca="false">ROUND(D36*3+H36,0)</f>
        <v>36</v>
      </c>
      <c r="J36" s="72" t="n">
        <f aca="false">ROUND((G36/2+H36)*8*0.25,2)</f>
        <v>382</v>
      </c>
      <c r="K36" s="50" t="s">
        <v>307</v>
      </c>
    </row>
    <row r="37" customFormat="false" ht="15" hidden="false" customHeight="true" outlineLevel="0" collapsed="false">
      <c r="A37" s="54" t="s">
        <v>329</v>
      </c>
      <c r="B37" s="54" t="s">
        <v>103</v>
      </c>
      <c r="C37" s="54" t="s">
        <v>94</v>
      </c>
      <c r="D37" s="65" t="n">
        <v>7.2</v>
      </c>
      <c r="E37" s="73" t="n">
        <v>5.82</v>
      </c>
      <c r="F37" s="73" t="n">
        <v>5.72</v>
      </c>
      <c r="G37" s="54" t="n">
        <f aca="false">ROUND(SQRT(2*D37*365*50/(8*0.25)),0)</f>
        <v>362</v>
      </c>
      <c r="H37" s="54" t="n">
        <f aca="false">ROUND(1.65*F37*SQRT(3),0)</f>
        <v>16</v>
      </c>
      <c r="I37" s="54" t="n">
        <f aca="false">ROUND(D37*3+H37,0)</f>
        <v>38</v>
      </c>
      <c r="J37" s="74" t="n">
        <f aca="false">ROUND((G37/2+H37)*8*0.25,2)</f>
        <v>394</v>
      </c>
      <c r="K37" s="50" t="s">
        <v>307</v>
      </c>
    </row>
    <row r="38" customFormat="false" ht="15" hidden="false" customHeight="true" outlineLevel="0" collapsed="false">
      <c r="A38" s="52" t="s">
        <v>330</v>
      </c>
      <c r="B38" s="52" t="s">
        <v>103</v>
      </c>
      <c r="C38" s="52" t="s">
        <v>94</v>
      </c>
      <c r="D38" s="64" t="n">
        <v>19.8</v>
      </c>
      <c r="E38" s="71" t="n">
        <v>13.01</v>
      </c>
      <c r="F38" s="71" t="n">
        <v>15.35</v>
      </c>
      <c r="G38" s="52" t="n">
        <f aca="false">ROUND(SQRT(2*D38*365*50/(8*0.25)),0)</f>
        <v>601</v>
      </c>
      <c r="H38" s="52" t="n">
        <f aca="false">ROUND(1.65*F38*SQRT(3),0)</f>
        <v>44</v>
      </c>
      <c r="I38" s="52" t="n">
        <f aca="false">ROUND(D38*3+H38,0)</f>
        <v>103</v>
      </c>
      <c r="J38" s="72" t="n">
        <f aca="false">ROUND((G38/2+H38)*8*0.25,2)</f>
        <v>689</v>
      </c>
      <c r="K38" s="50" t="s">
        <v>307</v>
      </c>
    </row>
    <row r="39" customFormat="false" ht="15" hidden="false" customHeight="true" outlineLevel="0" collapsed="false">
      <c r="A39" s="54" t="s">
        <v>331</v>
      </c>
      <c r="B39" s="54" t="s">
        <v>103</v>
      </c>
      <c r="C39" s="54" t="s">
        <v>94</v>
      </c>
      <c r="D39" s="65" t="n">
        <v>10.3</v>
      </c>
      <c r="E39" s="73" t="n">
        <v>8.69</v>
      </c>
      <c r="F39" s="73" t="n">
        <v>8.5</v>
      </c>
      <c r="G39" s="54" t="n">
        <f aca="false">ROUND(SQRT(2*D39*365*50/(8*0.25)),0)</f>
        <v>434</v>
      </c>
      <c r="H39" s="54" t="n">
        <f aca="false">ROUND(1.65*F39*SQRT(3),0)</f>
        <v>24</v>
      </c>
      <c r="I39" s="54" t="n">
        <f aca="false">ROUND(D39*3+H39,0)</f>
        <v>55</v>
      </c>
      <c r="J39" s="74" t="n">
        <f aca="false">ROUND((G39/2+H39)*8*0.25,2)</f>
        <v>482</v>
      </c>
      <c r="K39" s="50" t="s">
        <v>307</v>
      </c>
    </row>
    <row r="40" customFormat="false" ht="15" hidden="false" customHeight="true" outlineLevel="0" collapsed="false">
      <c r="A40" s="52" t="s">
        <v>332</v>
      </c>
      <c r="B40" s="52" t="s">
        <v>90</v>
      </c>
      <c r="C40" s="52" t="s">
        <v>91</v>
      </c>
      <c r="D40" s="64" t="n">
        <v>7.4</v>
      </c>
      <c r="E40" s="71" t="n">
        <v>3.32</v>
      </c>
      <c r="F40" s="71" t="n">
        <v>3.5</v>
      </c>
      <c r="G40" s="52" t="n">
        <f aca="false">ROUND(SQRT(2*D40*365*50/(8*0.25)),0)</f>
        <v>367</v>
      </c>
      <c r="H40" s="52" t="n">
        <f aca="false">ROUND(1.65*F40*SQRT(3),0)</f>
        <v>10</v>
      </c>
      <c r="I40" s="52" t="n">
        <f aca="false">ROUND(D40*3+H40,0)</f>
        <v>32</v>
      </c>
      <c r="J40" s="72" t="n">
        <f aca="false">ROUND((G40/2+H40)*8*0.25,2)</f>
        <v>387</v>
      </c>
      <c r="K40" s="50" t="s">
        <v>307</v>
      </c>
    </row>
    <row r="41" customFormat="false" ht="15" hidden="false" customHeight="true" outlineLevel="0" collapsed="false">
      <c r="A41" s="54" t="s">
        <v>333</v>
      </c>
      <c r="B41" s="54" t="s">
        <v>85</v>
      </c>
      <c r="C41" s="54" t="s">
        <v>100</v>
      </c>
      <c r="D41" s="65" t="n">
        <v>7.7</v>
      </c>
      <c r="E41" s="73" t="n">
        <v>2.67</v>
      </c>
      <c r="F41" s="73" t="n">
        <v>2.44</v>
      </c>
      <c r="G41" s="54" t="n">
        <f aca="false">ROUND(SQRT(2*D41*365*50/(8*0.25)),0)</f>
        <v>375</v>
      </c>
      <c r="H41" s="54" t="n">
        <f aca="false">ROUND(1.65*F41*SQRT(3),0)</f>
        <v>7</v>
      </c>
      <c r="I41" s="54" t="n">
        <f aca="false">ROUND(D41*3+H41,0)</f>
        <v>30</v>
      </c>
      <c r="J41" s="74" t="n">
        <f aca="false">ROUND((G41/2+H41)*8*0.25,2)</f>
        <v>389</v>
      </c>
      <c r="K41" s="40" t="s">
        <v>324</v>
      </c>
    </row>
    <row r="42" customFormat="false" ht="15" hidden="false" customHeight="true" outlineLevel="0" collapsed="false">
      <c r="A42" s="52" t="s">
        <v>334</v>
      </c>
      <c r="B42" s="52" t="s">
        <v>103</v>
      </c>
      <c r="C42" s="52" t="s">
        <v>142</v>
      </c>
      <c r="D42" s="64" t="n">
        <v>18.2</v>
      </c>
      <c r="E42" s="71" t="n">
        <v>6.34</v>
      </c>
      <c r="F42" s="71" t="n">
        <v>5.45</v>
      </c>
      <c r="G42" s="52" t="n">
        <f aca="false">ROUND(SQRT(2*D42*365*50/(8*0.25)),0)</f>
        <v>576</v>
      </c>
      <c r="H42" s="52" t="n">
        <f aca="false">ROUND(1.65*F42*SQRT(3),0)</f>
        <v>16</v>
      </c>
      <c r="I42" s="52" t="n">
        <f aca="false">ROUND(D42*3+H42,0)</f>
        <v>71</v>
      </c>
      <c r="J42" s="72" t="n">
        <f aca="false">ROUND((G42/2+H42)*8*0.25,2)</f>
        <v>608</v>
      </c>
      <c r="K42" s="40" t="s">
        <v>324</v>
      </c>
    </row>
    <row r="43" customFormat="false" ht="15" hidden="false" customHeight="true" outlineLevel="0" collapsed="false">
      <c r="A43" s="54" t="s">
        <v>335</v>
      </c>
      <c r="B43" s="54" t="s">
        <v>103</v>
      </c>
      <c r="C43" s="54" t="s">
        <v>86</v>
      </c>
      <c r="D43" s="65" t="n">
        <v>15</v>
      </c>
      <c r="E43" s="73" t="n">
        <v>5.08</v>
      </c>
      <c r="F43" s="73" t="n">
        <v>4.89</v>
      </c>
      <c r="G43" s="54" t="n">
        <f aca="false">ROUND(SQRT(2*D43*365*50/(8*0.25)),0)</f>
        <v>523</v>
      </c>
      <c r="H43" s="54" t="n">
        <f aca="false">ROUND(1.65*F43*SQRT(3),0)</f>
        <v>14</v>
      </c>
      <c r="I43" s="54" t="n">
        <f aca="false">ROUND(D43*3+H43,0)</f>
        <v>59</v>
      </c>
      <c r="J43" s="74" t="n">
        <f aca="false">ROUND((G43/2+H43)*8*0.25,2)</f>
        <v>551</v>
      </c>
      <c r="K43" s="40" t="s">
        <v>324</v>
      </c>
    </row>
    <row r="45" customFormat="false" ht="15" hidden="false" customHeight="true" outlineLevel="0" collapsed="false">
      <c r="A45" s="75" t="s">
        <v>336</v>
      </c>
      <c r="B45" s="75"/>
      <c r="C45" s="75"/>
      <c r="D45" s="75"/>
      <c r="E45" s="75"/>
      <c r="F45" s="75"/>
      <c r="G45" s="75"/>
      <c r="H45" s="75"/>
      <c r="I45" s="75"/>
      <c r="J45" s="76" t="n">
        <f aca="false">SUM(J14:J43)</f>
        <v>14530</v>
      </c>
    </row>
  </sheetData>
  <mergeCells count="17">
    <mergeCell ref="A1:J1"/>
    <mergeCell ref="A2:J2"/>
    <mergeCell ref="A4:J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2:J12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1" width="16"/>
  </cols>
  <sheetData>
    <row r="1" customFormat="false" ht="31.5" hidden="false" customHeight="true" outlineLevel="0" collapsed="false">
      <c r="A1" s="7" t="s">
        <v>337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338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9.5" hidden="false" customHeight="true" outlineLevel="0" collapsed="false">
      <c r="A4" s="9" t="s">
        <v>339</v>
      </c>
      <c r="B4" s="9"/>
      <c r="C4" s="9"/>
      <c r="D4" s="9"/>
      <c r="E4" s="9"/>
      <c r="F4" s="9"/>
      <c r="G4" s="9"/>
      <c r="H4" s="9"/>
      <c r="I4" s="9"/>
      <c r="J4" s="9"/>
    </row>
    <row r="5" customFormat="false" ht="21.75" hidden="false" customHeight="true" outlineLevel="0" collapsed="false">
      <c r="A5" s="19" t="s">
        <v>340</v>
      </c>
      <c r="B5" s="19" t="s">
        <v>341</v>
      </c>
      <c r="C5" s="19" t="s">
        <v>342</v>
      </c>
      <c r="D5" s="19" t="s">
        <v>343</v>
      </c>
      <c r="E5" s="19" t="s">
        <v>344</v>
      </c>
      <c r="F5" s="19" t="s">
        <v>345</v>
      </c>
      <c r="G5" s="19" t="s">
        <v>346</v>
      </c>
      <c r="H5" s="19" t="s">
        <v>239</v>
      </c>
    </row>
    <row r="6" customFormat="false" ht="15" hidden="false" customHeight="true" outlineLevel="0" collapsed="false">
      <c r="A6" s="52" t="s">
        <v>347</v>
      </c>
      <c r="B6" s="57" t="n">
        <v>0.181</v>
      </c>
      <c r="C6" s="57" t="n">
        <v>0.851</v>
      </c>
      <c r="D6" s="52" t="n">
        <v>123</v>
      </c>
      <c r="E6" s="52" t="n">
        <v>97</v>
      </c>
      <c r="F6" s="52" t="n">
        <v>213.7</v>
      </c>
      <c r="G6" s="52" t="n">
        <v>200</v>
      </c>
      <c r="H6" s="45" t="s">
        <v>348</v>
      </c>
    </row>
    <row r="7" customFormat="false" ht="15" hidden="false" customHeight="true" outlineLevel="0" collapsed="false">
      <c r="A7" s="54" t="s">
        <v>349</v>
      </c>
      <c r="B7" s="56" t="n">
        <v>0.174</v>
      </c>
      <c r="C7" s="56" t="n">
        <v>0.859</v>
      </c>
      <c r="D7" s="54" t="n">
        <v>111</v>
      </c>
      <c r="E7" s="54" t="n">
        <v>92</v>
      </c>
      <c r="F7" s="54" t="n">
        <v>199.2</v>
      </c>
      <c r="G7" s="54" t="n">
        <v>200</v>
      </c>
      <c r="H7" s="45" t="s">
        <v>348</v>
      </c>
    </row>
    <row r="8" customFormat="false" ht="15" hidden="false" customHeight="true" outlineLevel="0" collapsed="false">
      <c r="A8" s="52" t="s">
        <v>350</v>
      </c>
      <c r="B8" s="57" t="n">
        <v>0.168</v>
      </c>
      <c r="C8" s="57" t="n">
        <v>0.864</v>
      </c>
      <c r="D8" s="52" t="n">
        <v>110</v>
      </c>
      <c r="E8" s="52" t="n">
        <v>82</v>
      </c>
      <c r="F8" s="52" t="n">
        <v>192.7</v>
      </c>
      <c r="G8" s="52" t="n">
        <v>200</v>
      </c>
      <c r="H8" s="40" t="s">
        <v>351</v>
      </c>
    </row>
    <row r="9" customFormat="false" ht="15" hidden="false" customHeight="true" outlineLevel="0" collapsed="false">
      <c r="A9" s="54" t="s">
        <v>352</v>
      </c>
      <c r="B9" s="56" t="n">
        <v>0.152</v>
      </c>
      <c r="C9" s="56" t="n">
        <v>0.872</v>
      </c>
      <c r="D9" s="54" t="n">
        <v>103</v>
      </c>
      <c r="E9" s="54" t="n">
        <v>84</v>
      </c>
      <c r="F9" s="54" t="n">
        <v>172.6</v>
      </c>
      <c r="G9" s="54" t="n">
        <v>200</v>
      </c>
      <c r="H9" s="40" t="s">
        <v>351</v>
      </c>
    </row>
    <row r="10" customFormat="false" ht="15" hidden="false" customHeight="true" outlineLevel="0" collapsed="false">
      <c r="A10" s="52" t="s">
        <v>353</v>
      </c>
      <c r="B10" s="57" t="n">
        <v>0.141</v>
      </c>
      <c r="C10" s="57" t="n">
        <v>0.88</v>
      </c>
      <c r="D10" s="52" t="n">
        <v>92</v>
      </c>
      <c r="E10" s="52" t="n">
        <v>78</v>
      </c>
      <c r="F10" s="52" t="n">
        <v>163.1</v>
      </c>
      <c r="G10" s="52" t="n">
        <v>200</v>
      </c>
      <c r="H10" s="40" t="s">
        <v>351</v>
      </c>
    </row>
    <row r="11" customFormat="false" ht="15" hidden="false" customHeight="true" outlineLevel="0" collapsed="false">
      <c r="A11" s="54" t="s">
        <v>354</v>
      </c>
      <c r="B11" s="56" t="n">
        <v>0.133</v>
      </c>
      <c r="C11" s="56" t="n">
        <v>0.889</v>
      </c>
      <c r="D11" s="54" t="n">
        <v>86</v>
      </c>
      <c r="E11" s="54" t="n">
        <v>78</v>
      </c>
      <c r="F11" s="54" t="n">
        <v>149</v>
      </c>
      <c r="G11" s="54" t="n">
        <v>200</v>
      </c>
      <c r="H11" s="50" t="s">
        <v>355</v>
      </c>
    </row>
    <row r="12" customFormat="false" ht="15" hidden="false" customHeight="true" outlineLevel="0" collapsed="false">
      <c r="A12" s="52" t="s">
        <v>356</v>
      </c>
      <c r="B12" s="57" t="n">
        <v>0.128</v>
      </c>
      <c r="C12" s="57" t="n">
        <v>0.895</v>
      </c>
      <c r="D12" s="52" t="n">
        <v>81</v>
      </c>
      <c r="E12" s="52" t="n">
        <v>75</v>
      </c>
      <c r="F12" s="52" t="n">
        <v>137.4</v>
      </c>
      <c r="G12" s="52" t="n">
        <v>200</v>
      </c>
      <c r="H12" s="50" t="s">
        <v>355</v>
      </c>
    </row>
    <row r="13" customFormat="false" ht="15" hidden="false" customHeight="true" outlineLevel="0" collapsed="false">
      <c r="A13" s="54" t="s">
        <v>357</v>
      </c>
      <c r="B13" s="56" t="n">
        <v>0.121</v>
      </c>
      <c r="C13" s="56" t="n">
        <v>0.901</v>
      </c>
      <c r="D13" s="54" t="n">
        <v>73</v>
      </c>
      <c r="E13" s="54" t="n">
        <v>65</v>
      </c>
      <c r="F13" s="54" t="n">
        <v>113.4</v>
      </c>
      <c r="G13" s="54" t="n">
        <v>200</v>
      </c>
      <c r="H13" s="50" t="s">
        <v>355</v>
      </c>
    </row>
    <row r="14" customFormat="false" ht="15" hidden="false" customHeight="true" outlineLevel="0" collapsed="false">
      <c r="A14" s="52" t="s">
        <v>358</v>
      </c>
      <c r="B14" s="57" t="n">
        <v>0.114</v>
      </c>
      <c r="C14" s="57" t="n">
        <v>0.912</v>
      </c>
      <c r="D14" s="52" t="n">
        <v>66</v>
      </c>
      <c r="E14" s="52" t="n">
        <v>58</v>
      </c>
      <c r="F14" s="52" t="n">
        <v>101.2</v>
      </c>
      <c r="G14" s="52" t="n">
        <v>200</v>
      </c>
      <c r="H14" s="50" t="s">
        <v>355</v>
      </c>
    </row>
    <row r="15" customFormat="false" ht="15" hidden="false" customHeight="true" outlineLevel="0" collapsed="false">
      <c r="A15" s="54" t="s">
        <v>359</v>
      </c>
      <c r="B15" s="56" t="n">
        <v>0.108</v>
      </c>
      <c r="C15" s="56" t="n">
        <v>0.92</v>
      </c>
      <c r="D15" s="54" t="n">
        <v>62</v>
      </c>
      <c r="E15" s="54" t="n">
        <v>64</v>
      </c>
      <c r="F15" s="54" t="n">
        <v>93.8</v>
      </c>
      <c r="G15" s="54" t="n">
        <v>200</v>
      </c>
      <c r="H15" s="50" t="s">
        <v>355</v>
      </c>
    </row>
    <row r="16" customFormat="false" ht="15" hidden="false" customHeight="true" outlineLevel="0" collapsed="false">
      <c r="A16" s="52" t="s">
        <v>360</v>
      </c>
      <c r="B16" s="57" t="n">
        <v>0.101</v>
      </c>
      <c r="C16" s="57" t="n">
        <v>0.928</v>
      </c>
      <c r="D16" s="52" t="n">
        <v>47</v>
      </c>
      <c r="E16" s="52" t="n">
        <v>57</v>
      </c>
      <c r="F16" s="52" t="n">
        <v>81.7</v>
      </c>
      <c r="G16" s="52" t="n">
        <v>200</v>
      </c>
      <c r="H16" s="50" t="s">
        <v>355</v>
      </c>
    </row>
    <row r="17" customFormat="false" ht="15" hidden="false" customHeight="true" outlineLevel="0" collapsed="false">
      <c r="A17" s="54" t="s">
        <v>361</v>
      </c>
      <c r="B17" s="56" t="n">
        <v>0.094</v>
      </c>
      <c r="C17" s="56" t="n">
        <v>0.935</v>
      </c>
      <c r="D17" s="54" t="n">
        <v>47</v>
      </c>
      <c r="E17" s="54" t="n">
        <v>54</v>
      </c>
      <c r="F17" s="54" t="n">
        <v>53.4</v>
      </c>
      <c r="G17" s="54" t="n">
        <v>200</v>
      </c>
      <c r="H17" s="50" t="s">
        <v>355</v>
      </c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2026-04-10T19:42:36Z</dcterms:created>
  <dc:creator>openpyxl</dc:creator>
  <dc:description/>
  <dc:language>en-US</dc:language>
  <cp:lastModifiedBy/>
  <dcterms:modified xsi:type="dcterms:W3CDTF">2026-04-10T22:48:11Z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